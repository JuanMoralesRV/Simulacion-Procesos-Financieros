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teso01-my.sharepoint.com/personal/alvaro_morales_iteso_mx/Documents/SEMESTRE 5/SIMULACION PROCESOS/"/>
    </mc:Choice>
  </mc:AlternateContent>
  <xr:revisionPtr revIDLastSave="124" documentId="8_{FBD3E006-BB82-4B95-A1A1-00BB282CE806}" xr6:coauthVersionLast="47" xr6:coauthVersionMax="47" xr10:uidLastSave="{C3251EBA-B983-4280-9443-C965B395DB58}"/>
  <bookViews>
    <workbookView xWindow="-110" yWindow="-110" windowWidth="19420" windowHeight="11500" xr2:uid="{00000000-000D-0000-FFFF-FFFF00000000}"/>
  </bookViews>
  <sheets>
    <sheet name="Data" sheetId="3" r:id="rId1"/>
    <sheet name="Calculations" sheetId="4" r:id="rId2"/>
    <sheet name="Simulacione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6" i="5" l="1"/>
  <c r="AQ16" i="5"/>
  <c r="AP16" i="5"/>
  <c r="AR15" i="5"/>
  <c r="AQ15" i="5"/>
  <c r="AP15" i="5"/>
  <c r="AR14" i="5"/>
  <c r="AQ14" i="5"/>
  <c r="AP14" i="5"/>
  <c r="AR13" i="5"/>
  <c r="AQ13" i="5"/>
  <c r="AP13" i="5"/>
  <c r="AR12" i="5"/>
  <c r="AQ12" i="5"/>
  <c r="AP12" i="5"/>
  <c r="AR11" i="5"/>
  <c r="AQ11" i="5"/>
  <c r="AP11" i="5"/>
  <c r="AR10" i="5"/>
  <c r="AQ10" i="5"/>
  <c r="AP10" i="5"/>
  <c r="AR9" i="5"/>
  <c r="AQ9" i="5"/>
  <c r="AP9" i="5"/>
  <c r="AR8" i="5"/>
  <c r="AQ8" i="5"/>
  <c r="AP8" i="5"/>
  <c r="AR7" i="5"/>
  <c r="AQ7" i="5"/>
  <c r="AP7" i="5"/>
  <c r="AR6" i="5"/>
  <c r="AQ6" i="5"/>
  <c r="AP6" i="5"/>
  <c r="AR5" i="5"/>
  <c r="AQ5" i="5"/>
  <c r="AP5" i="5"/>
  <c r="AR4" i="5"/>
  <c r="AQ4" i="5"/>
  <c r="AP4" i="5"/>
  <c r="AR3" i="5"/>
  <c r="AQ3" i="5"/>
  <c r="AP3" i="5"/>
  <c r="AH16" i="5"/>
  <c r="AG16" i="5"/>
  <c r="AF16" i="5"/>
  <c r="AI16" i="5" s="1"/>
  <c r="AH15" i="5"/>
  <c r="AG15" i="5"/>
  <c r="AF15" i="5"/>
  <c r="AK15" i="5" s="1"/>
  <c r="AH14" i="5"/>
  <c r="AG14" i="5"/>
  <c r="AF14" i="5"/>
  <c r="AH13" i="5"/>
  <c r="AG13" i="5"/>
  <c r="AF13" i="5"/>
  <c r="AH12" i="5"/>
  <c r="AG12" i="5"/>
  <c r="AF12" i="5"/>
  <c r="AI12" i="5" s="1"/>
  <c r="AH11" i="5"/>
  <c r="AG11" i="5"/>
  <c r="AF11" i="5"/>
  <c r="AH10" i="5"/>
  <c r="AG10" i="5"/>
  <c r="AF10" i="5"/>
  <c r="AH9" i="5"/>
  <c r="AG9" i="5"/>
  <c r="AF9" i="5"/>
  <c r="AH8" i="5"/>
  <c r="AG8" i="5"/>
  <c r="AF8" i="5"/>
  <c r="AI8" i="5" s="1"/>
  <c r="AH7" i="5"/>
  <c r="AG7" i="5"/>
  <c r="AF7" i="5"/>
  <c r="AH6" i="5"/>
  <c r="AG6" i="5"/>
  <c r="AF6" i="5"/>
  <c r="AI6" i="5" s="1"/>
  <c r="AH5" i="5"/>
  <c r="AG5" i="5"/>
  <c r="AF5" i="5"/>
  <c r="AH4" i="5"/>
  <c r="AG4" i="5"/>
  <c r="AF4" i="5"/>
  <c r="AI4" i="5" s="1"/>
  <c r="AH3" i="5"/>
  <c r="AG3" i="5"/>
  <c r="AF3" i="5"/>
  <c r="X16" i="5"/>
  <c r="W16" i="5"/>
  <c r="V16" i="5"/>
  <c r="X15" i="5"/>
  <c r="W15" i="5"/>
  <c r="V15" i="5"/>
  <c r="X14" i="5"/>
  <c r="W14" i="5"/>
  <c r="V14" i="5"/>
  <c r="X13" i="5"/>
  <c r="W13" i="5"/>
  <c r="V13" i="5"/>
  <c r="AA13" i="5" s="1"/>
  <c r="X12" i="5"/>
  <c r="W12" i="5"/>
  <c r="V12" i="5"/>
  <c r="X11" i="5"/>
  <c r="W11" i="5"/>
  <c r="V11" i="5"/>
  <c r="X10" i="5"/>
  <c r="W10" i="5"/>
  <c r="V10" i="5"/>
  <c r="AA10" i="5" s="1"/>
  <c r="X9" i="5"/>
  <c r="W9" i="5"/>
  <c r="V9" i="5"/>
  <c r="X8" i="5"/>
  <c r="W8" i="5"/>
  <c r="V8" i="5"/>
  <c r="X7" i="5"/>
  <c r="W7" i="5"/>
  <c r="V7" i="5"/>
  <c r="X6" i="5"/>
  <c r="W6" i="5"/>
  <c r="V6" i="5"/>
  <c r="X5" i="5"/>
  <c r="W5" i="5"/>
  <c r="V5" i="5"/>
  <c r="X4" i="5"/>
  <c r="W4" i="5"/>
  <c r="V4" i="5"/>
  <c r="X3" i="5"/>
  <c r="W3" i="5"/>
  <c r="V3" i="5"/>
  <c r="N16" i="5"/>
  <c r="M16" i="5"/>
  <c r="L16" i="5"/>
  <c r="N15" i="5"/>
  <c r="M15" i="5"/>
  <c r="L15" i="5"/>
  <c r="N14" i="5"/>
  <c r="M14" i="5"/>
  <c r="L14" i="5"/>
  <c r="N13" i="5"/>
  <c r="M13" i="5"/>
  <c r="L13" i="5"/>
  <c r="N12" i="5"/>
  <c r="M12" i="5"/>
  <c r="L12" i="5"/>
  <c r="N11" i="5"/>
  <c r="M11" i="5"/>
  <c r="L11" i="5"/>
  <c r="N10" i="5"/>
  <c r="M10" i="5"/>
  <c r="L10" i="5"/>
  <c r="N9" i="5"/>
  <c r="M9" i="5"/>
  <c r="L9" i="5"/>
  <c r="N8" i="5"/>
  <c r="M8" i="5"/>
  <c r="L8" i="5"/>
  <c r="Q8" i="5" s="1"/>
  <c r="N7" i="5"/>
  <c r="M7" i="5"/>
  <c r="L7" i="5"/>
  <c r="N6" i="5"/>
  <c r="M6" i="5"/>
  <c r="L6" i="5"/>
  <c r="N5" i="5"/>
  <c r="M5" i="5"/>
  <c r="L5" i="5"/>
  <c r="N4" i="5"/>
  <c r="M4" i="5"/>
  <c r="L4" i="5"/>
  <c r="N3" i="5"/>
  <c r="M3" i="5"/>
  <c r="L3" i="5"/>
  <c r="B4" i="5"/>
  <c r="E4" i="5" s="1"/>
  <c r="C4" i="5"/>
  <c r="D4" i="5"/>
  <c r="B5" i="5"/>
  <c r="C5" i="5"/>
  <c r="D5" i="5"/>
  <c r="B6" i="5"/>
  <c r="E6" i="5" s="1"/>
  <c r="C6" i="5"/>
  <c r="D6" i="5"/>
  <c r="B7" i="5"/>
  <c r="E7" i="5" s="1"/>
  <c r="C7" i="5"/>
  <c r="D7" i="5"/>
  <c r="B8" i="5"/>
  <c r="E8" i="5" s="1"/>
  <c r="C8" i="5"/>
  <c r="D8" i="5"/>
  <c r="B9" i="5"/>
  <c r="E9" i="5" s="1"/>
  <c r="C9" i="5"/>
  <c r="D9" i="5"/>
  <c r="B10" i="5"/>
  <c r="E10" i="5" s="1"/>
  <c r="C10" i="5"/>
  <c r="D10" i="5"/>
  <c r="B11" i="5"/>
  <c r="E11" i="5" s="1"/>
  <c r="C11" i="5"/>
  <c r="D11" i="5"/>
  <c r="B12" i="5"/>
  <c r="E12" i="5" s="1"/>
  <c r="C12" i="5"/>
  <c r="D12" i="5"/>
  <c r="B13" i="5"/>
  <c r="C13" i="5"/>
  <c r="D13" i="5"/>
  <c r="B14" i="5"/>
  <c r="C14" i="5"/>
  <c r="D14" i="5"/>
  <c r="B15" i="5"/>
  <c r="E15" i="5" s="1"/>
  <c r="C15" i="5"/>
  <c r="D15" i="5"/>
  <c r="B16" i="5"/>
  <c r="E16" i="5" s="1"/>
  <c r="C16" i="5"/>
  <c r="D16" i="5"/>
  <c r="D984" i="4"/>
  <c r="C984" i="4"/>
  <c r="B984" i="4"/>
  <c r="C983" i="4"/>
  <c r="B983" i="4"/>
  <c r="B982" i="4"/>
  <c r="D3" i="5"/>
  <c r="C3" i="5"/>
  <c r="B3" i="5"/>
  <c r="E3" i="5" s="1"/>
  <c r="D978" i="4"/>
  <c r="C978" i="4"/>
  <c r="B978" i="4"/>
  <c r="D977" i="4"/>
  <c r="C977" i="4"/>
  <c r="B977" i="4"/>
  <c r="D976" i="4"/>
  <c r="C976" i="4"/>
  <c r="B976" i="4"/>
  <c r="D969" i="4"/>
  <c r="C969" i="4"/>
  <c r="B969" i="4"/>
  <c r="A969" i="4"/>
  <c r="D968" i="4"/>
  <c r="C968" i="4"/>
  <c r="B968" i="4"/>
  <c r="A968" i="4"/>
  <c r="D967" i="4"/>
  <c r="C967" i="4"/>
  <c r="B967" i="4"/>
  <c r="A967" i="4"/>
  <c r="D966" i="4"/>
  <c r="C966" i="4"/>
  <c r="B966" i="4"/>
  <c r="A966" i="4"/>
  <c r="D965" i="4"/>
  <c r="C965" i="4"/>
  <c r="B965" i="4"/>
  <c r="A965" i="4"/>
  <c r="D964" i="4"/>
  <c r="C964" i="4"/>
  <c r="B964" i="4"/>
  <c r="A964" i="4"/>
  <c r="D963" i="4"/>
  <c r="C963" i="4"/>
  <c r="B963" i="4"/>
  <c r="A963" i="4"/>
  <c r="D962" i="4"/>
  <c r="C962" i="4"/>
  <c r="B962" i="4"/>
  <c r="A962" i="4"/>
  <c r="D961" i="4"/>
  <c r="C961" i="4"/>
  <c r="B961" i="4"/>
  <c r="A961" i="4"/>
  <c r="D960" i="4"/>
  <c r="C960" i="4"/>
  <c r="B960" i="4"/>
  <c r="A960" i="4"/>
  <c r="D959" i="4"/>
  <c r="C959" i="4"/>
  <c r="B959" i="4"/>
  <c r="A959" i="4"/>
  <c r="D958" i="4"/>
  <c r="C958" i="4"/>
  <c r="B958" i="4"/>
  <c r="A958" i="4"/>
  <c r="D957" i="4"/>
  <c r="C957" i="4"/>
  <c r="B957" i="4"/>
  <c r="A957" i="4"/>
  <c r="D956" i="4"/>
  <c r="C956" i="4"/>
  <c r="B956" i="4"/>
  <c r="A956" i="4"/>
  <c r="D955" i="4"/>
  <c r="C955" i="4"/>
  <c r="B955" i="4"/>
  <c r="A955" i="4"/>
  <c r="D954" i="4"/>
  <c r="C954" i="4"/>
  <c r="B954" i="4"/>
  <c r="A954" i="4"/>
  <c r="D953" i="4"/>
  <c r="C953" i="4"/>
  <c r="B953" i="4"/>
  <c r="A953" i="4"/>
  <c r="D952" i="4"/>
  <c r="C952" i="4"/>
  <c r="B952" i="4"/>
  <c r="A952" i="4"/>
  <c r="D951" i="4"/>
  <c r="C951" i="4"/>
  <c r="B951" i="4"/>
  <c r="A951" i="4"/>
  <c r="D950" i="4"/>
  <c r="C950" i="4"/>
  <c r="B950" i="4"/>
  <c r="A950" i="4"/>
  <c r="D949" i="4"/>
  <c r="C949" i="4"/>
  <c r="B949" i="4"/>
  <c r="A949" i="4"/>
  <c r="D948" i="4"/>
  <c r="C948" i="4"/>
  <c r="B948" i="4"/>
  <c r="A948" i="4"/>
  <c r="D947" i="4"/>
  <c r="C947" i="4"/>
  <c r="B947" i="4"/>
  <c r="A947" i="4"/>
  <c r="D946" i="4"/>
  <c r="C946" i="4"/>
  <c r="B946" i="4"/>
  <c r="A946" i="4"/>
  <c r="D945" i="4"/>
  <c r="C945" i="4"/>
  <c r="B945" i="4"/>
  <c r="A945" i="4"/>
  <c r="D944" i="4"/>
  <c r="C944" i="4"/>
  <c r="B944" i="4"/>
  <c r="A944" i="4"/>
  <c r="D943" i="4"/>
  <c r="C943" i="4"/>
  <c r="B943" i="4"/>
  <c r="A943" i="4"/>
  <c r="D942" i="4"/>
  <c r="C942" i="4"/>
  <c r="B942" i="4"/>
  <c r="A942" i="4"/>
  <c r="D941" i="4"/>
  <c r="C941" i="4"/>
  <c r="B941" i="4"/>
  <c r="A941" i="4"/>
  <c r="D940" i="4"/>
  <c r="C940" i="4"/>
  <c r="B940" i="4"/>
  <c r="A940" i="4"/>
  <c r="D939" i="4"/>
  <c r="C939" i="4"/>
  <c r="B939" i="4"/>
  <c r="A939" i="4"/>
  <c r="D938" i="4"/>
  <c r="C938" i="4"/>
  <c r="B938" i="4"/>
  <c r="A938" i="4"/>
  <c r="D937" i="4"/>
  <c r="C937" i="4"/>
  <c r="B937" i="4"/>
  <c r="A937" i="4"/>
  <c r="D936" i="4"/>
  <c r="C936" i="4"/>
  <c r="B936" i="4"/>
  <c r="A936" i="4"/>
  <c r="D935" i="4"/>
  <c r="C935" i="4"/>
  <c r="B935" i="4"/>
  <c r="A935" i="4"/>
  <c r="D934" i="4"/>
  <c r="C934" i="4"/>
  <c r="B934" i="4"/>
  <c r="A934" i="4"/>
  <c r="D933" i="4"/>
  <c r="C933" i="4"/>
  <c r="B933" i="4"/>
  <c r="A933" i="4"/>
  <c r="D932" i="4"/>
  <c r="C932" i="4"/>
  <c r="B932" i="4"/>
  <c r="A932" i="4"/>
  <c r="D931" i="4"/>
  <c r="C931" i="4"/>
  <c r="B931" i="4"/>
  <c r="A931" i="4"/>
  <c r="D930" i="4"/>
  <c r="C930" i="4"/>
  <c r="B930" i="4"/>
  <c r="A930" i="4"/>
  <c r="D929" i="4"/>
  <c r="C929" i="4"/>
  <c r="B929" i="4"/>
  <c r="A929" i="4"/>
  <c r="D928" i="4"/>
  <c r="C928" i="4"/>
  <c r="B928" i="4"/>
  <c r="A928" i="4"/>
  <c r="D927" i="4"/>
  <c r="C927" i="4"/>
  <c r="B927" i="4"/>
  <c r="A927" i="4"/>
  <c r="D926" i="4"/>
  <c r="C926" i="4"/>
  <c r="B926" i="4"/>
  <c r="A926" i="4"/>
  <c r="D925" i="4"/>
  <c r="C925" i="4"/>
  <c r="B925" i="4"/>
  <c r="A925" i="4"/>
  <c r="D924" i="4"/>
  <c r="C924" i="4"/>
  <c r="B924" i="4"/>
  <c r="A924" i="4"/>
  <c r="D923" i="4"/>
  <c r="C923" i="4"/>
  <c r="B923" i="4"/>
  <c r="A923" i="4"/>
  <c r="D922" i="4"/>
  <c r="C922" i="4"/>
  <c r="B922" i="4"/>
  <c r="A922" i="4"/>
  <c r="D921" i="4"/>
  <c r="C921" i="4"/>
  <c r="B921" i="4"/>
  <c r="A921" i="4"/>
  <c r="D920" i="4"/>
  <c r="C920" i="4"/>
  <c r="B920" i="4"/>
  <c r="A920" i="4"/>
  <c r="D919" i="4"/>
  <c r="C919" i="4"/>
  <c r="B919" i="4"/>
  <c r="A919" i="4"/>
  <c r="D918" i="4"/>
  <c r="C918" i="4"/>
  <c r="B918" i="4"/>
  <c r="A918" i="4"/>
  <c r="D917" i="4"/>
  <c r="C917" i="4"/>
  <c r="B917" i="4"/>
  <c r="A917" i="4"/>
  <c r="D916" i="4"/>
  <c r="C916" i="4"/>
  <c r="B916" i="4"/>
  <c r="A916" i="4"/>
  <c r="D915" i="4"/>
  <c r="C915" i="4"/>
  <c r="B915" i="4"/>
  <c r="A915" i="4"/>
  <c r="D914" i="4"/>
  <c r="C914" i="4"/>
  <c r="B914" i="4"/>
  <c r="A914" i="4"/>
  <c r="D913" i="4"/>
  <c r="C913" i="4"/>
  <c r="B913" i="4"/>
  <c r="A913" i="4"/>
  <c r="D912" i="4"/>
  <c r="C912" i="4"/>
  <c r="B912" i="4"/>
  <c r="A912" i="4"/>
  <c r="D911" i="4"/>
  <c r="C911" i="4"/>
  <c r="B911" i="4"/>
  <c r="A911" i="4"/>
  <c r="D910" i="4"/>
  <c r="C910" i="4"/>
  <c r="B910" i="4"/>
  <c r="A910" i="4"/>
  <c r="D909" i="4"/>
  <c r="C909" i="4"/>
  <c r="B909" i="4"/>
  <c r="A909" i="4"/>
  <c r="D908" i="4"/>
  <c r="C908" i="4"/>
  <c r="B908" i="4"/>
  <c r="A908" i="4"/>
  <c r="D907" i="4"/>
  <c r="C907" i="4"/>
  <c r="B907" i="4"/>
  <c r="A907" i="4"/>
  <c r="D906" i="4"/>
  <c r="C906" i="4"/>
  <c r="B906" i="4"/>
  <c r="A906" i="4"/>
  <c r="D905" i="4"/>
  <c r="C905" i="4"/>
  <c r="B905" i="4"/>
  <c r="A905" i="4"/>
  <c r="D904" i="4"/>
  <c r="C904" i="4"/>
  <c r="B904" i="4"/>
  <c r="A904" i="4"/>
  <c r="D903" i="4"/>
  <c r="C903" i="4"/>
  <c r="B903" i="4"/>
  <c r="A903" i="4"/>
  <c r="D902" i="4"/>
  <c r="C902" i="4"/>
  <c r="B902" i="4"/>
  <c r="A902" i="4"/>
  <c r="D901" i="4"/>
  <c r="C901" i="4"/>
  <c r="B901" i="4"/>
  <c r="A901" i="4"/>
  <c r="D900" i="4"/>
  <c r="C900" i="4"/>
  <c r="B900" i="4"/>
  <c r="A900" i="4"/>
  <c r="D899" i="4"/>
  <c r="C899" i="4"/>
  <c r="B899" i="4"/>
  <c r="A899" i="4"/>
  <c r="D898" i="4"/>
  <c r="C898" i="4"/>
  <c r="B898" i="4"/>
  <c r="A898" i="4"/>
  <c r="D897" i="4"/>
  <c r="C897" i="4"/>
  <c r="B897" i="4"/>
  <c r="A897" i="4"/>
  <c r="D896" i="4"/>
  <c r="C896" i="4"/>
  <c r="B896" i="4"/>
  <c r="A896" i="4"/>
  <c r="D895" i="4"/>
  <c r="C895" i="4"/>
  <c r="B895" i="4"/>
  <c r="A895" i="4"/>
  <c r="D894" i="4"/>
  <c r="C894" i="4"/>
  <c r="B894" i="4"/>
  <c r="A894" i="4"/>
  <c r="D893" i="4"/>
  <c r="C893" i="4"/>
  <c r="B893" i="4"/>
  <c r="A893" i="4"/>
  <c r="D892" i="4"/>
  <c r="C892" i="4"/>
  <c r="B892" i="4"/>
  <c r="A892" i="4"/>
  <c r="D891" i="4"/>
  <c r="C891" i="4"/>
  <c r="B891" i="4"/>
  <c r="A891" i="4"/>
  <c r="D890" i="4"/>
  <c r="C890" i="4"/>
  <c r="B890" i="4"/>
  <c r="A890" i="4"/>
  <c r="D889" i="4"/>
  <c r="C889" i="4"/>
  <c r="B889" i="4"/>
  <c r="A889" i="4"/>
  <c r="D888" i="4"/>
  <c r="C888" i="4"/>
  <c r="B888" i="4"/>
  <c r="A888" i="4"/>
  <c r="D887" i="4"/>
  <c r="C887" i="4"/>
  <c r="B887" i="4"/>
  <c r="A887" i="4"/>
  <c r="D886" i="4"/>
  <c r="C886" i="4"/>
  <c r="B886" i="4"/>
  <c r="A886" i="4"/>
  <c r="D885" i="4"/>
  <c r="C885" i="4"/>
  <c r="B885" i="4"/>
  <c r="A885" i="4"/>
  <c r="D884" i="4"/>
  <c r="C884" i="4"/>
  <c r="B884" i="4"/>
  <c r="A884" i="4"/>
  <c r="D883" i="4"/>
  <c r="C883" i="4"/>
  <c r="B883" i="4"/>
  <c r="A883" i="4"/>
  <c r="D882" i="4"/>
  <c r="C882" i="4"/>
  <c r="B882" i="4"/>
  <c r="A882" i="4"/>
  <c r="D881" i="4"/>
  <c r="C881" i="4"/>
  <c r="B881" i="4"/>
  <c r="A881" i="4"/>
  <c r="D880" i="4"/>
  <c r="C880" i="4"/>
  <c r="B880" i="4"/>
  <c r="A880" i="4"/>
  <c r="D879" i="4"/>
  <c r="C879" i="4"/>
  <c r="B879" i="4"/>
  <c r="A879" i="4"/>
  <c r="D878" i="4"/>
  <c r="C878" i="4"/>
  <c r="B878" i="4"/>
  <c r="A878" i="4"/>
  <c r="D877" i="4"/>
  <c r="C877" i="4"/>
  <c r="B877" i="4"/>
  <c r="A877" i="4"/>
  <c r="D876" i="4"/>
  <c r="C876" i="4"/>
  <c r="B876" i="4"/>
  <c r="A876" i="4"/>
  <c r="D875" i="4"/>
  <c r="C875" i="4"/>
  <c r="B875" i="4"/>
  <c r="A875" i="4"/>
  <c r="D874" i="4"/>
  <c r="C874" i="4"/>
  <c r="B874" i="4"/>
  <c r="A874" i="4"/>
  <c r="D873" i="4"/>
  <c r="C873" i="4"/>
  <c r="B873" i="4"/>
  <c r="A873" i="4"/>
  <c r="D872" i="4"/>
  <c r="C872" i="4"/>
  <c r="B872" i="4"/>
  <c r="A872" i="4"/>
  <c r="D871" i="4"/>
  <c r="C871" i="4"/>
  <c r="B871" i="4"/>
  <c r="A871" i="4"/>
  <c r="D870" i="4"/>
  <c r="C870" i="4"/>
  <c r="B870" i="4"/>
  <c r="A870" i="4"/>
  <c r="D869" i="4"/>
  <c r="C869" i="4"/>
  <c r="B869" i="4"/>
  <c r="A869" i="4"/>
  <c r="D868" i="4"/>
  <c r="C868" i="4"/>
  <c r="B868" i="4"/>
  <c r="A868" i="4"/>
  <c r="D867" i="4"/>
  <c r="C867" i="4"/>
  <c r="B867" i="4"/>
  <c r="A867" i="4"/>
  <c r="D866" i="4"/>
  <c r="C866" i="4"/>
  <c r="B866" i="4"/>
  <c r="A866" i="4"/>
  <c r="D865" i="4"/>
  <c r="C865" i="4"/>
  <c r="B865" i="4"/>
  <c r="A865" i="4"/>
  <c r="D864" i="4"/>
  <c r="C864" i="4"/>
  <c r="B864" i="4"/>
  <c r="A864" i="4"/>
  <c r="D863" i="4"/>
  <c r="C863" i="4"/>
  <c r="B863" i="4"/>
  <c r="A863" i="4"/>
  <c r="D862" i="4"/>
  <c r="C862" i="4"/>
  <c r="B862" i="4"/>
  <c r="A862" i="4"/>
  <c r="D861" i="4"/>
  <c r="C861" i="4"/>
  <c r="B861" i="4"/>
  <c r="A861" i="4"/>
  <c r="D860" i="4"/>
  <c r="C860" i="4"/>
  <c r="B860" i="4"/>
  <c r="A860" i="4"/>
  <c r="D859" i="4"/>
  <c r="C859" i="4"/>
  <c r="B859" i="4"/>
  <c r="A859" i="4"/>
  <c r="D858" i="4"/>
  <c r="C858" i="4"/>
  <c r="B858" i="4"/>
  <c r="A858" i="4"/>
  <c r="D857" i="4"/>
  <c r="C857" i="4"/>
  <c r="B857" i="4"/>
  <c r="A857" i="4"/>
  <c r="D856" i="4"/>
  <c r="C856" i="4"/>
  <c r="B856" i="4"/>
  <c r="A856" i="4"/>
  <c r="D855" i="4"/>
  <c r="C855" i="4"/>
  <c r="B855" i="4"/>
  <c r="A855" i="4"/>
  <c r="D854" i="4"/>
  <c r="C854" i="4"/>
  <c r="B854" i="4"/>
  <c r="A854" i="4"/>
  <c r="D853" i="4"/>
  <c r="C853" i="4"/>
  <c r="B853" i="4"/>
  <c r="A853" i="4"/>
  <c r="D852" i="4"/>
  <c r="C852" i="4"/>
  <c r="B852" i="4"/>
  <c r="A852" i="4"/>
  <c r="D851" i="4"/>
  <c r="C851" i="4"/>
  <c r="B851" i="4"/>
  <c r="A851" i="4"/>
  <c r="D850" i="4"/>
  <c r="C850" i="4"/>
  <c r="B850" i="4"/>
  <c r="A850" i="4"/>
  <c r="D849" i="4"/>
  <c r="C849" i="4"/>
  <c r="B849" i="4"/>
  <c r="A849" i="4"/>
  <c r="D848" i="4"/>
  <c r="C848" i="4"/>
  <c r="B848" i="4"/>
  <c r="A848" i="4"/>
  <c r="D847" i="4"/>
  <c r="C847" i="4"/>
  <c r="B847" i="4"/>
  <c r="A847" i="4"/>
  <c r="D846" i="4"/>
  <c r="C846" i="4"/>
  <c r="B846" i="4"/>
  <c r="A846" i="4"/>
  <c r="D845" i="4"/>
  <c r="C845" i="4"/>
  <c r="B845" i="4"/>
  <c r="A845" i="4"/>
  <c r="D844" i="4"/>
  <c r="C844" i="4"/>
  <c r="B844" i="4"/>
  <c r="A844" i="4"/>
  <c r="D843" i="4"/>
  <c r="C843" i="4"/>
  <c r="B843" i="4"/>
  <c r="A843" i="4"/>
  <c r="D842" i="4"/>
  <c r="C842" i="4"/>
  <c r="B842" i="4"/>
  <c r="A842" i="4"/>
  <c r="D841" i="4"/>
  <c r="C841" i="4"/>
  <c r="B841" i="4"/>
  <c r="A841" i="4"/>
  <c r="D840" i="4"/>
  <c r="C840" i="4"/>
  <c r="B840" i="4"/>
  <c r="A840" i="4"/>
  <c r="D839" i="4"/>
  <c r="C839" i="4"/>
  <c r="B839" i="4"/>
  <c r="A839" i="4"/>
  <c r="D838" i="4"/>
  <c r="C838" i="4"/>
  <c r="B838" i="4"/>
  <c r="A838" i="4"/>
  <c r="D837" i="4"/>
  <c r="C837" i="4"/>
  <c r="B837" i="4"/>
  <c r="A837" i="4"/>
  <c r="D836" i="4"/>
  <c r="C836" i="4"/>
  <c r="B836" i="4"/>
  <c r="A836" i="4"/>
  <c r="D835" i="4"/>
  <c r="C835" i="4"/>
  <c r="B835" i="4"/>
  <c r="A835" i="4"/>
  <c r="D834" i="4"/>
  <c r="C834" i="4"/>
  <c r="B834" i="4"/>
  <c r="A834" i="4"/>
  <c r="D833" i="4"/>
  <c r="C833" i="4"/>
  <c r="B833" i="4"/>
  <c r="A833" i="4"/>
  <c r="D832" i="4"/>
  <c r="C832" i="4"/>
  <c r="B832" i="4"/>
  <c r="A832" i="4"/>
  <c r="D831" i="4"/>
  <c r="C831" i="4"/>
  <c r="B831" i="4"/>
  <c r="A831" i="4"/>
  <c r="D830" i="4"/>
  <c r="C830" i="4"/>
  <c r="B830" i="4"/>
  <c r="A830" i="4"/>
  <c r="D829" i="4"/>
  <c r="C829" i="4"/>
  <c r="B829" i="4"/>
  <c r="A829" i="4"/>
  <c r="D828" i="4"/>
  <c r="C828" i="4"/>
  <c r="B828" i="4"/>
  <c r="A828" i="4"/>
  <c r="D827" i="4"/>
  <c r="C827" i="4"/>
  <c r="B827" i="4"/>
  <c r="A827" i="4"/>
  <c r="D826" i="4"/>
  <c r="C826" i="4"/>
  <c r="B826" i="4"/>
  <c r="A826" i="4"/>
  <c r="D825" i="4"/>
  <c r="C825" i="4"/>
  <c r="B825" i="4"/>
  <c r="A825" i="4"/>
  <c r="D824" i="4"/>
  <c r="C824" i="4"/>
  <c r="B824" i="4"/>
  <c r="A824" i="4"/>
  <c r="D823" i="4"/>
  <c r="C823" i="4"/>
  <c r="B823" i="4"/>
  <c r="A823" i="4"/>
  <c r="D822" i="4"/>
  <c r="C822" i="4"/>
  <c r="B822" i="4"/>
  <c r="A822" i="4"/>
  <c r="D821" i="4"/>
  <c r="C821" i="4"/>
  <c r="B821" i="4"/>
  <c r="A821" i="4"/>
  <c r="D820" i="4"/>
  <c r="C820" i="4"/>
  <c r="B820" i="4"/>
  <c r="A820" i="4"/>
  <c r="D819" i="4"/>
  <c r="C819" i="4"/>
  <c r="B819" i="4"/>
  <c r="A819" i="4"/>
  <c r="D818" i="4"/>
  <c r="C818" i="4"/>
  <c r="B818" i="4"/>
  <c r="A818" i="4"/>
  <c r="D817" i="4"/>
  <c r="C817" i="4"/>
  <c r="B817" i="4"/>
  <c r="A817" i="4"/>
  <c r="D816" i="4"/>
  <c r="C816" i="4"/>
  <c r="B816" i="4"/>
  <c r="A816" i="4"/>
  <c r="D815" i="4"/>
  <c r="C815" i="4"/>
  <c r="B815" i="4"/>
  <c r="A815" i="4"/>
  <c r="D814" i="4"/>
  <c r="C814" i="4"/>
  <c r="B814" i="4"/>
  <c r="A814" i="4"/>
  <c r="D813" i="4"/>
  <c r="C813" i="4"/>
  <c r="B813" i="4"/>
  <c r="A813" i="4"/>
  <c r="D812" i="4"/>
  <c r="C812" i="4"/>
  <c r="B812" i="4"/>
  <c r="A812" i="4"/>
  <c r="D811" i="4"/>
  <c r="C811" i="4"/>
  <c r="B811" i="4"/>
  <c r="A811" i="4"/>
  <c r="D810" i="4"/>
  <c r="C810" i="4"/>
  <c r="B810" i="4"/>
  <c r="A810" i="4"/>
  <c r="D809" i="4"/>
  <c r="C809" i="4"/>
  <c r="B809" i="4"/>
  <c r="A809" i="4"/>
  <c r="D808" i="4"/>
  <c r="C808" i="4"/>
  <c r="B808" i="4"/>
  <c r="A808" i="4"/>
  <c r="D807" i="4"/>
  <c r="C807" i="4"/>
  <c r="B807" i="4"/>
  <c r="A807" i="4"/>
  <c r="D806" i="4"/>
  <c r="C806" i="4"/>
  <c r="B806" i="4"/>
  <c r="A806" i="4"/>
  <c r="D805" i="4"/>
  <c r="C805" i="4"/>
  <c r="B805" i="4"/>
  <c r="A805" i="4"/>
  <c r="D804" i="4"/>
  <c r="C804" i="4"/>
  <c r="B804" i="4"/>
  <c r="A804" i="4"/>
  <c r="D803" i="4"/>
  <c r="C803" i="4"/>
  <c r="B803" i="4"/>
  <c r="A803" i="4"/>
  <c r="D802" i="4"/>
  <c r="C802" i="4"/>
  <c r="B802" i="4"/>
  <c r="A802" i="4"/>
  <c r="D801" i="4"/>
  <c r="C801" i="4"/>
  <c r="B801" i="4"/>
  <c r="A801" i="4"/>
  <c r="D800" i="4"/>
  <c r="C800" i="4"/>
  <c r="B800" i="4"/>
  <c r="A800" i="4"/>
  <c r="D799" i="4"/>
  <c r="C799" i="4"/>
  <c r="B799" i="4"/>
  <c r="A799" i="4"/>
  <c r="D798" i="4"/>
  <c r="C798" i="4"/>
  <c r="B798" i="4"/>
  <c r="A798" i="4"/>
  <c r="D797" i="4"/>
  <c r="C797" i="4"/>
  <c r="B797" i="4"/>
  <c r="A797" i="4"/>
  <c r="D796" i="4"/>
  <c r="C796" i="4"/>
  <c r="B796" i="4"/>
  <c r="A796" i="4"/>
  <c r="D795" i="4"/>
  <c r="C795" i="4"/>
  <c r="B795" i="4"/>
  <c r="A795" i="4"/>
  <c r="D794" i="4"/>
  <c r="C794" i="4"/>
  <c r="B794" i="4"/>
  <c r="A794" i="4"/>
  <c r="D793" i="4"/>
  <c r="C793" i="4"/>
  <c r="B793" i="4"/>
  <c r="A793" i="4"/>
  <c r="D792" i="4"/>
  <c r="C792" i="4"/>
  <c r="B792" i="4"/>
  <c r="A792" i="4"/>
  <c r="D791" i="4"/>
  <c r="C791" i="4"/>
  <c r="B791" i="4"/>
  <c r="A791" i="4"/>
  <c r="D790" i="4"/>
  <c r="C790" i="4"/>
  <c r="B790" i="4"/>
  <c r="A790" i="4"/>
  <c r="D789" i="4"/>
  <c r="C789" i="4"/>
  <c r="B789" i="4"/>
  <c r="A789" i="4"/>
  <c r="D788" i="4"/>
  <c r="C788" i="4"/>
  <c r="B788" i="4"/>
  <c r="A788" i="4"/>
  <c r="D787" i="4"/>
  <c r="C787" i="4"/>
  <c r="B787" i="4"/>
  <c r="A787" i="4"/>
  <c r="D786" i="4"/>
  <c r="C786" i="4"/>
  <c r="B786" i="4"/>
  <c r="A786" i="4"/>
  <c r="D785" i="4"/>
  <c r="C785" i="4"/>
  <c r="B785" i="4"/>
  <c r="A785" i="4"/>
  <c r="D784" i="4"/>
  <c r="C784" i="4"/>
  <c r="B784" i="4"/>
  <c r="A784" i="4"/>
  <c r="D783" i="4"/>
  <c r="C783" i="4"/>
  <c r="B783" i="4"/>
  <c r="A783" i="4"/>
  <c r="D782" i="4"/>
  <c r="C782" i="4"/>
  <c r="B782" i="4"/>
  <c r="A782" i="4"/>
  <c r="D781" i="4"/>
  <c r="C781" i="4"/>
  <c r="B781" i="4"/>
  <c r="A781" i="4"/>
  <c r="D780" i="4"/>
  <c r="C780" i="4"/>
  <c r="B780" i="4"/>
  <c r="A780" i="4"/>
  <c r="D779" i="4"/>
  <c r="C779" i="4"/>
  <c r="B779" i="4"/>
  <c r="A779" i="4"/>
  <c r="D778" i="4"/>
  <c r="C778" i="4"/>
  <c r="B778" i="4"/>
  <c r="A778" i="4"/>
  <c r="D777" i="4"/>
  <c r="C777" i="4"/>
  <c r="B777" i="4"/>
  <c r="A777" i="4"/>
  <c r="D776" i="4"/>
  <c r="C776" i="4"/>
  <c r="B776" i="4"/>
  <c r="A776" i="4"/>
  <c r="D775" i="4"/>
  <c r="C775" i="4"/>
  <c r="B775" i="4"/>
  <c r="A775" i="4"/>
  <c r="D774" i="4"/>
  <c r="C774" i="4"/>
  <c r="B774" i="4"/>
  <c r="A774" i="4"/>
  <c r="D773" i="4"/>
  <c r="C773" i="4"/>
  <c r="B773" i="4"/>
  <c r="A773" i="4"/>
  <c r="D772" i="4"/>
  <c r="C772" i="4"/>
  <c r="B772" i="4"/>
  <c r="A772" i="4"/>
  <c r="D771" i="4"/>
  <c r="C771" i="4"/>
  <c r="B771" i="4"/>
  <c r="A771" i="4"/>
  <c r="D770" i="4"/>
  <c r="C770" i="4"/>
  <c r="B770" i="4"/>
  <c r="A770" i="4"/>
  <c r="D769" i="4"/>
  <c r="C769" i="4"/>
  <c r="B769" i="4"/>
  <c r="A769" i="4"/>
  <c r="D768" i="4"/>
  <c r="C768" i="4"/>
  <c r="B768" i="4"/>
  <c r="A768" i="4"/>
  <c r="D767" i="4"/>
  <c r="C767" i="4"/>
  <c r="B767" i="4"/>
  <c r="A767" i="4"/>
  <c r="D766" i="4"/>
  <c r="C766" i="4"/>
  <c r="B766" i="4"/>
  <c r="A766" i="4"/>
  <c r="D765" i="4"/>
  <c r="C765" i="4"/>
  <c r="B765" i="4"/>
  <c r="A765" i="4"/>
  <c r="D764" i="4"/>
  <c r="C764" i="4"/>
  <c r="B764" i="4"/>
  <c r="A764" i="4"/>
  <c r="D763" i="4"/>
  <c r="C763" i="4"/>
  <c r="B763" i="4"/>
  <c r="A763" i="4"/>
  <c r="D762" i="4"/>
  <c r="C762" i="4"/>
  <c r="B762" i="4"/>
  <c r="A762" i="4"/>
  <c r="D761" i="4"/>
  <c r="C761" i="4"/>
  <c r="B761" i="4"/>
  <c r="A761" i="4"/>
  <c r="D760" i="4"/>
  <c r="C760" i="4"/>
  <c r="B760" i="4"/>
  <c r="A760" i="4"/>
  <c r="D759" i="4"/>
  <c r="C759" i="4"/>
  <c r="B759" i="4"/>
  <c r="A759" i="4"/>
  <c r="D758" i="4"/>
  <c r="C758" i="4"/>
  <c r="B758" i="4"/>
  <c r="A758" i="4"/>
  <c r="D757" i="4"/>
  <c r="C757" i="4"/>
  <c r="B757" i="4"/>
  <c r="A757" i="4"/>
  <c r="D756" i="4"/>
  <c r="C756" i="4"/>
  <c r="B756" i="4"/>
  <c r="A756" i="4"/>
  <c r="D755" i="4"/>
  <c r="C755" i="4"/>
  <c r="B755" i="4"/>
  <c r="A755" i="4"/>
  <c r="D754" i="4"/>
  <c r="C754" i="4"/>
  <c r="B754" i="4"/>
  <c r="A754" i="4"/>
  <c r="D753" i="4"/>
  <c r="C753" i="4"/>
  <c r="B753" i="4"/>
  <c r="A753" i="4"/>
  <c r="D752" i="4"/>
  <c r="C752" i="4"/>
  <c r="B752" i="4"/>
  <c r="A752" i="4"/>
  <c r="D751" i="4"/>
  <c r="C751" i="4"/>
  <c r="B751" i="4"/>
  <c r="A751" i="4"/>
  <c r="D750" i="4"/>
  <c r="C750" i="4"/>
  <c r="B750" i="4"/>
  <c r="A750" i="4"/>
  <c r="D749" i="4"/>
  <c r="C749" i="4"/>
  <c r="B749" i="4"/>
  <c r="A749" i="4"/>
  <c r="D748" i="4"/>
  <c r="C748" i="4"/>
  <c r="B748" i="4"/>
  <c r="A748" i="4"/>
  <c r="D747" i="4"/>
  <c r="C747" i="4"/>
  <c r="B747" i="4"/>
  <c r="A747" i="4"/>
  <c r="D746" i="4"/>
  <c r="C746" i="4"/>
  <c r="B746" i="4"/>
  <c r="A746" i="4"/>
  <c r="D745" i="4"/>
  <c r="C745" i="4"/>
  <c r="B745" i="4"/>
  <c r="A745" i="4"/>
  <c r="D744" i="4"/>
  <c r="C744" i="4"/>
  <c r="B744" i="4"/>
  <c r="A744" i="4"/>
  <c r="D743" i="4"/>
  <c r="C743" i="4"/>
  <c r="B743" i="4"/>
  <c r="A743" i="4"/>
  <c r="D742" i="4"/>
  <c r="C742" i="4"/>
  <c r="B742" i="4"/>
  <c r="A742" i="4"/>
  <c r="D741" i="4"/>
  <c r="C741" i="4"/>
  <c r="B741" i="4"/>
  <c r="A741" i="4"/>
  <c r="D740" i="4"/>
  <c r="C740" i="4"/>
  <c r="B740" i="4"/>
  <c r="A740" i="4"/>
  <c r="D739" i="4"/>
  <c r="C739" i="4"/>
  <c r="B739" i="4"/>
  <c r="A739" i="4"/>
  <c r="D738" i="4"/>
  <c r="C738" i="4"/>
  <c r="B738" i="4"/>
  <c r="A738" i="4"/>
  <c r="D737" i="4"/>
  <c r="C737" i="4"/>
  <c r="B737" i="4"/>
  <c r="A737" i="4"/>
  <c r="D736" i="4"/>
  <c r="C736" i="4"/>
  <c r="B736" i="4"/>
  <c r="A736" i="4"/>
  <c r="D735" i="4"/>
  <c r="C735" i="4"/>
  <c r="B735" i="4"/>
  <c r="A735" i="4"/>
  <c r="D734" i="4"/>
  <c r="C734" i="4"/>
  <c r="B734" i="4"/>
  <c r="A734" i="4"/>
  <c r="D733" i="4"/>
  <c r="C733" i="4"/>
  <c r="B733" i="4"/>
  <c r="A733" i="4"/>
  <c r="D732" i="4"/>
  <c r="C732" i="4"/>
  <c r="B732" i="4"/>
  <c r="A732" i="4"/>
  <c r="D731" i="4"/>
  <c r="C731" i="4"/>
  <c r="B731" i="4"/>
  <c r="A731" i="4"/>
  <c r="D730" i="4"/>
  <c r="C730" i="4"/>
  <c r="B730" i="4"/>
  <c r="A730" i="4"/>
  <c r="D729" i="4"/>
  <c r="C729" i="4"/>
  <c r="B729" i="4"/>
  <c r="A729" i="4"/>
  <c r="D728" i="4"/>
  <c r="C728" i="4"/>
  <c r="B728" i="4"/>
  <c r="A728" i="4"/>
  <c r="D727" i="4"/>
  <c r="C727" i="4"/>
  <c r="B727" i="4"/>
  <c r="A727" i="4"/>
  <c r="D726" i="4"/>
  <c r="C726" i="4"/>
  <c r="B726" i="4"/>
  <c r="A726" i="4"/>
  <c r="D725" i="4"/>
  <c r="C725" i="4"/>
  <c r="B725" i="4"/>
  <c r="A725" i="4"/>
  <c r="D724" i="4"/>
  <c r="C724" i="4"/>
  <c r="B724" i="4"/>
  <c r="A724" i="4"/>
  <c r="D723" i="4"/>
  <c r="C723" i="4"/>
  <c r="B723" i="4"/>
  <c r="A723" i="4"/>
  <c r="D722" i="4"/>
  <c r="C722" i="4"/>
  <c r="B722" i="4"/>
  <c r="A722" i="4"/>
  <c r="D721" i="4"/>
  <c r="C721" i="4"/>
  <c r="B721" i="4"/>
  <c r="A721" i="4"/>
  <c r="D720" i="4"/>
  <c r="C720" i="4"/>
  <c r="B720" i="4"/>
  <c r="A720" i="4"/>
  <c r="D719" i="4"/>
  <c r="C719" i="4"/>
  <c r="B719" i="4"/>
  <c r="A719" i="4"/>
  <c r="D718" i="4"/>
  <c r="C718" i="4"/>
  <c r="B718" i="4"/>
  <c r="A718" i="4"/>
  <c r="D717" i="4"/>
  <c r="C717" i="4"/>
  <c r="B717" i="4"/>
  <c r="A717" i="4"/>
  <c r="D716" i="4"/>
  <c r="C716" i="4"/>
  <c r="B716" i="4"/>
  <c r="A716" i="4"/>
  <c r="D715" i="4"/>
  <c r="C715" i="4"/>
  <c r="B715" i="4"/>
  <c r="A715" i="4"/>
  <c r="D714" i="4"/>
  <c r="C714" i="4"/>
  <c r="B714" i="4"/>
  <c r="A714" i="4"/>
  <c r="D713" i="4"/>
  <c r="C713" i="4"/>
  <c r="B713" i="4"/>
  <c r="A713" i="4"/>
  <c r="D712" i="4"/>
  <c r="C712" i="4"/>
  <c r="B712" i="4"/>
  <c r="A712" i="4"/>
  <c r="D711" i="4"/>
  <c r="C711" i="4"/>
  <c r="B711" i="4"/>
  <c r="A711" i="4"/>
  <c r="D710" i="4"/>
  <c r="C710" i="4"/>
  <c r="B710" i="4"/>
  <c r="A710" i="4"/>
  <c r="D709" i="4"/>
  <c r="C709" i="4"/>
  <c r="B709" i="4"/>
  <c r="A709" i="4"/>
  <c r="D708" i="4"/>
  <c r="C708" i="4"/>
  <c r="B708" i="4"/>
  <c r="A708" i="4"/>
  <c r="D707" i="4"/>
  <c r="C707" i="4"/>
  <c r="B707" i="4"/>
  <c r="A707" i="4"/>
  <c r="D706" i="4"/>
  <c r="C706" i="4"/>
  <c r="B706" i="4"/>
  <c r="A706" i="4"/>
  <c r="D705" i="4"/>
  <c r="C705" i="4"/>
  <c r="B705" i="4"/>
  <c r="A705" i="4"/>
  <c r="D704" i="4"/>
  <c r="C704" i="4"/>
  <c r="B704" i="4"/>
  <c r="A704" i="4"/>
  <c r="D703" i="4"/>
  <c r="C703" i="4"/>
  <c r="B703" i="4"/>
  <c r="A703" i="4"/>
  <c r="D702" i="4"/>
  <c r="C702" i="4"/>
  <c r="B702" i="4"/>
  <c r="A702" i="4"/>
  <c r="D701" i="4"/>
  <c r="C701" i="4"/>
  <c r="B701" i="4"/>
  <c r="A701" i="4"/>
  <c r="D700" i="4"/>
  <c r="C700" i="4"/>
  <c r="B700" i="4"/>
  <c r="A700" i="4"/>
  <c r="D699" i="4"/>
  <c r="C699" i="4"/>
  <c r="B699" i="4"/>
  <c r="A699" i="4"/>
  <c r="D698" i="4"/>
  <c r="C698" i="4"/>
  <c r="B698" i="4"/>
  <c r="A698" i="4"/>
  <c r="D697" i="4"/>
  <c r="C697" i="4"/>
  <c r="B697" i="4"/>
  <c r="A697" i="4"/>
  <c r="D696" i="4"/>
  <c r="C696" i="4"/>
  <c r="B696" i="4"/>
  <c r="A696" i="4"/>
  <c r="D695" i="4"/>
  <c r="C695" i="4"/>
  <c r="B695" i="4"/>
  <c r="A695" i="4"/>
  <c r="D694" i="4"/>
  <c r="C694" i="4"/>
  <c r="B694" i="4"/>
  <c r="A694" i="4"/>
  <c r="D693" i="4"/>
  <c r="C693" i="4"/>
  <c r="B693" i="4"/>
  <c r="A693" i="4"/>
  <c r="D692" i="4"/>
  <c r="C692" i="4"/>
  <c r="B692" i="4"/>
  <c r="A692" i="4"/>
  <c r="D691" i="4"/>
  <c r="C691" i="4"/>
  <c r="B691" i="4"/>
  <c r="A691" i="4"/>
  <c r="D690" i="4"/>
  <c r="C690" i="4"/>
  <c r="B690" i="4"/>
  <c r="A690" i="4"/>
  <c r="D689" i="4"/>
  <c r="C689" i="4"/>
  <c r="B689" i="4"/>
  <c r="A689" i="4"/>
  <c r="D688" i="4"/>
  <c r="C688" i="4"/>
  <c r="B688" i="4"/>
  <c r="A688" i="4"/>
  <c r="D687" i="4"/>
  <c r="C687" i="4"/>
  <c r="B687" i="4"/>
  <c r="A687" i="4"/>
  <c r="D686" i="4"/>
  <c r="C686" i="4"/>
  <c r="B686" i="4"/>
  <c r="A686" i="4"/>
  <c r="D685" i="4"/>
  <c r="C685" i="4"/>
  <c r="B685" i="4"/>
  <c r="A685" i="4"/>
  <c r="D684" i="4"/>
  <c r="C684" i="4"/>
  <c r="B684" i="4"/>
  <c r="A684" i="4"/>
  <c r="D683" i="4"/>
  <c r="C683" i="4"/>
  <c r="B683" i="4"/>
  <c r="A683" i="4"/>
  <c r="D682" i="4"/>
  <c r="C682" i="4"/>
  <c r="B682" i="4"/>
  <c r="A682" i="4"/>
  <c r="D681" i="4"/>
  <c r="C681" i="4"/>
  <c r="B681" i="4"/>
  <c r="A681" i="4"/>
  <c r="D680" i="4"/>
  <c r="C680" i="4"/>
  <c r="B680" i="4"/>
  <c r="A680" i="4"/>
  <c r="D679" i="4"/>
  <c r="C679" i="4"/>
  <c r="B679" i="4"/>
  <c r="A679" i="4"/>
  <c r="D678" i="4"/>
  <c r="C678" i="4"/>
  <c r="B678" i="4"/>
  <c r="A678" i="4"/>
  <c r="D677" i="4"/>
  <c r="C677" i="4"/>
  <c r="B677" i="4"/>
  <c r="A677" i="4"/>
  <c r="D676" i="4"/>
  <c r="C676" i="4"/>
  <c r="B676" i="4"/>
  <c r="A676" i="4"/>
  <c r="D675" i="4"/>
  <c r="C675" i="4"/>
  <c r="B675" i="4"/>
  <c r="A675" i="4"/>
  <c r="D674" i="4"/>
  <c r="C674" i="4"/>
  <c r="B674" i="4"/>
  <c r="A674" i="4"/>
  <c r="D673" i="4"/>
  <c r="C673" i="4"/>
  <c r="B673" i="4"/>
  <c r="A673" i="4"/>
  <c r="D672" i="4"/>
  <c r="C672" i="4"/>
  <c r="B672" i="4"/>
  <c r="A672" i="4"/>
  <c r="D671" i="4"/>
  <c r="C671" i="4"/>
  <c r="B671" i="4"/>
  <c r="A671" i="4"/>
  <c r="D670" i="4"/>
  <c r="C670" i="4"/>
  <c r="B670" i="4"/>
  <c r="A670" i="4"/>
  <c r="D669" i="4"/>
  <c r="C669" i="4"/>
  <c r="B669" i="4"/>
  <c r="A669" i="4"/>
  <c r="D668" i="4"/>
  <c r="C668" i="4"/>
  <c r="B668" i="4"/>
  <c r="A668" i="4"/>
  <c r="D667" i="4"/>
  <c r="C667" i="4"/>
  <c r="B667" i="4"/>
  <c r="A667" i="4"/>
  <c r="D666" i="4"/>
  <c r="C666" i="4"/>
  <c r="B666" i="4"/>
  <c r="A666" i="4"/>
  <c r="D665" i="4"/>
  <c r="C665" i="4"/>
  <c r="B665" i="4"/>
  <c r="A665" i="4"/>
  <c r="D664" i="4"/>
  <c r="C664" i="4"/>
  <c r="B664" i="4"/>
  <c r="A664" i="4"/>
  <c r="D663" i="4"/>
  <c r="C663" i="4"/>
  <c r="B663" i="4"/>
  <c r="A663" i="4"/>
  <c r="D662" i="4"/>
  <c r="C662" i="4"/>
  <c r="B662" i="4"/>
  <c r="A662" i="4"/>
  <c r="D661" i="4"/>
  <c r="C661" i="4"/>
  <c r="B661" i="4"/>
  <c r="A661" i="4"/>
  <c r="D660" i="4"/>
  <c r="C660" i="4"/>
  <c r="B660" i="4"/>
  <c r="A660" i="4"/>
  <c r="D659" i="4"/>
  <c r="C659" i="4"/>
  <c r="B659" i="4"/>
  <c r="A659" i="4"/>
  <c r="D658" i="4"/>
  <c r="C658" i="4"/>
  <c r="B658" i="4"/>
  <c r="A658" i="4"/>
  <c r="D657" i="4"/>
  <c r="C657" i="4"/>
  <c r="B657" i="4"/>
  <c r="A657" i="4"/>
  <c r="D656" i="4"/>
  <c r="C656" i="4"/>
  <c r="B656" i="4"/>
  <c r="A656" i="4"/>
  <c r="D655" i="4"/>
  <c r="C655" i="4"/>
  <c r="B655" i="4"/>
  <c r="A655" i="4"/>
  <c r="D654" i="4"/>
  <c r="C654" i="4"/>
  <c r="B654" i="4"/>
  <c r="A654" i="4"/>
  <c r="D653" i="4"/>
  <c r="C653" i="4"/>
  <c r="B653" i="4"/>
  <c r="A653" i="4"/>
  <c r="D652" i="4"/>
  <c r="C652" i="4"/>
  <c r="B652" i="4"/>
  <c r="A652" i="4"/>
  <c r="D651" i="4"/>
  <c r="C651" i="4"/>
  <c r="B651" i="4"/>
  <c r="A651" i="4"/>
  <c r="D650" i="4"/>
  <c r="C650" i="4"/>
  <c r="B650" i="4"/>
  <c r="A650" i="4"/>
  <c r="D649" i="4"/>
  <c r="C649" i="4"/>
  <c r="B649" i="4"/>
  <c r="A649" i="4"/>
  <c r="D648" i="4"/>
  <c r="C648" i="4"/>
  <c r="B648" i="4"/>
  <c r="A648" i="4"/>
  <c r="D647" i="4"/>
  <c r="C647" i="4"/>
  <c r="B647" i="4"/>
  <c r="A647" i="4"/>
  <c r="D646" i="4"/>
  <c r="C646" i="4"/>
  <c r="B646" i="4"/>
  <c r="A646" i="4"/>
  <c r="D645" i="4"/>
  <c r="C645" i="4"/>
  <c r="B645" i="4"/>
  <c r="A645" i="4"/>
  <c r="D644" i="4"/>
  <c r="C644" i="4"/>
  <c r="B644" i="4"/>
  <c r="A644" i="4"/>
  <c r="D643" i="4"/>
  <c r="C643" i="4"/>
  <c r="B643" i="4"/>
  <c r="A643" i="4"/>
  <c r="D642" i="4"/>
  <c r="C642" i="4"/>
  <c r="B642" i="4"/>
  <c r="A642" i="4"/>
  <c r="D641" i="4"/>
  <c r="C641" i="4"/>
  <c r="B641" i="4"/>
  <c r="A641" i="4"/>
  <c r="D640" i="4"/>
  <c r="C640" i="4"/>
  <c r="B640" i="4"/>
  <c r="A640" i="4"/>
  <c r="D639" i="4"/>
  <c r="C639" i="4"/>
  <c r="B639" i="4"/>
  <c r="A639" i="4"/>
  <c r="D638" i="4"/>
  <c r="C638" i="4"/>
  <c r="B638" i="4"/>
  <c r="A638" i="4"/>
  <c r="D637" i="4"/>
  <c r="C637" i="4"/>
  <c r="B637" i="4"/>
  <c r="A637" i="4"/>
  <c r="D636" i="4"/>
  <c r="C636" i="4"/>
  <c r="B636" i="4"/>
  <c r="A636" i="4"/>
  <c r="D635" i="4"/>
  <c r="C635" i="4"/>
  <c r="B635" i="4"/>
  <c r="A635" i="4"/>
  <c r="D634" i="4"/>
  <c r="C634" i="4"/>
  <c r="B634" i="4"/>
  <c r="A634" i="4"/>
  <c r="D633" i="4"/>
  <c r="C633" i="4"/>
  <c r="B633" i="4"/>
  <c r="A633" i="4"/>
  <c r="D632" i="4"/>
  <c r="C632" i="4"/>
  <c r="B632" i="4"/>
  <c r="A632" i="4"/>
  <c r="D631" i="4"/>
  <c r="C631" i="4"/>
  <c r="B631" i="4"/>
  <c r="A631" i="4"/>
  <c r="D630" i="4"/>
  <c r="C630" i="4"/>
  <c r="B630" i="4"/>
  <c r="A630" i="4"/>
  <c r="D629" i="4"/>
  <c r="C629" i="4"/>
  <c r="B629" i="4"/>
  <c r="A629" i="4"/>
  <c r="D628" i="4"/>
  <c r="C628" i="4"/>
  <c r="B628" i="4"/>
  <c r="A628" i="4"/>
  <c r="D627" i="4"/>
  <c r="C627" i="4"/>
  <c r="B627" i="4"/>
  <c r="A627" i="4"/>
  <c r="D626" i="4"/>
  <c r="C626" i="4"/>
  <c r="B626" i="4"/>
  <c r="A626" i="4"/>
  <c r="D625" i="4"/>
  <c r="C625" i="4"/>
  <c r="B625" i="4"/>
  <c r="A625" i="4"/>
  <c r="D624" i="4"/>
  <c r="C624" i="4"/>
  <c r="B624" i="4"/>
  <c r="A624" i="4"/>
  <c r="D623" i="4"/>
  <c r="C623" i="4"/>
  <c r="B623" i="4"/>
  <c r="A623" i="4"/>
  <c r="D622" i="4"/>
  <c r="C622" i="4"/>
  <c r="B622" i="4"/>
  <c r="A622" i="4"/>
  <c r="D621" i="4"/>
  <c r="C621" i="4"/>
  <c r="B621" i="4"/>
  <c r="A621" i="4"/>
  <c r="D620" i="4"/>
  <c r="C620" i="4"/>
  <c r="B620" i="4"/>
  <c r="A620" i="4"/>
  <c r="D619" i="4"/>
  <c r="C619" i="4"/>
  <c r="B619" i="4"/>
  <c r="A619" i="4"/>
  <c r="D618" i="4"/>
  <c r="C618" i="4"/>
  <c r="B618" i="4"/>
  <c r="A618" i="4"/>
  <c r="D617" i="4"/>
  <c r="C617" i="4"/>
  <c r="B617" i="4"/>
  <c r="A617" i="4"/>
  <c r="D616" i="4"/>
  <c r="C616" i="4"/>
  <c r="B616" i="4"/>
  <c r="A616" i="4"/>
  <c r="D615" i="4"/>
  <c r="C615" i="4"/>
  <c r="B615" i="4"/>
  <c r="A615" i="4"/>
  <c r="D614" i="4"/>
  <c r="C614" i="4"/>
  <c r="B614" i="4"/>
  <c r="A614" i="4"/>
  <c r="D613" i="4"/>
  <c r="C613" i="4"/>
  <c r="B613" i="4"/>
  <c r="A613" i="4"/>
  <c r="D612" i="4"/>
  <c r="C612" i="4"/>
  <c r="B612" i="4"/>
  <c r="A612" i="4"/>
  <c r="D611" i="4"/>
  <c r="C611" i="4"/>
  <c r="B611" i="4"/>
  <c r="A611" i="4"/>
  <c r="D610" i="4"/>
  <c r="C610" i="4"/>
  <c r="B610" i="4"/>
  <c r="A610" i="4"/>
  <c r="D609" i="4"/>
  <c r="C609" i="4"/>
  <c r="B609" i="4"/>
  <c r="A609" i="4"/>
  <c r="D608" i="4"/>
  <c r="C608" i="4"/>
  <c r="B608" i="4"/>
  <c r="A608" i="4"/>
  <c r="D607" i="4"/>
  <c r="C607" i="4"/>
  <c r="B607" i="4"/>
  <c r="A607" i="4"/>
  <c r="D606" i="4"/>
  <c r="C606" i="4"/>
  <c r="B606" i="4"/>
  <c r="A606" i="4"/>
  <c r="D605" i="4"/>
  <c r="C605" i="4"/>
  <c r="B605" i="4"/>
  <c r="A605" i="4"/>
  <c r="D604" i="4"/>
  <c r="C604" i="4"/>
  <c r="B604" i="4"/>
  <c r="A604" i="4"/>
  <c r="D603" i="4"/>
  <c r="C603" i="4"/>
  <c r="B603" i="4"/>
  <c r="A603" i="4"/>
  <c r="D602" i="4"/>
  <c r="C602" i="4"/>
  <c r="B602" i="4"/>
  <c r="A602" i="4"/>
  <c r="D601" i="4"/>
  <c r="C601" i="4"/>
  <c r="B601" i="4"/>
  <c r="A601" i="4"/>
  <c r="D600" i="4"/>
  <c r="C600" i="4"/>
  <c r="B600" i="4"/>
  <c r="A600" i="4"/>
  <c r="D599" i="4"/>
  <c r="C599" i="4"/>
  <c r="B599" i="4"/>
  <c r="A599" i="4"/>
  <c r="D598" i="4"/>
  <c r="C598" i="4"/>
  <c r="B598" i="4"/>
  <c r="A598" i="4"/>
  <c r="D597" i="4"/>
  <c r="C597" i="4"/>
  <c r="B597" i="4"/>
  <c r="A597" i="4"/>
  <c r="D596" i="4"/>
  <c r="C596" i="4"/>
  <c r="B596" i="4"/>
  <c r="A596" i="4"/>
  <c r="D595" i="4"/>
  <c r="C595" i="4"/>
  <c r="B595" i="4"/>
  <c r="A595" i="4"/>
  <c r="D594" i="4"/>
  <c r="C594" i="4"/>
  <c r="B594" i="4"/>
  <c r="A594" i="4"/>
  <c r="D593" i="4"/>
  <c r="C593" i="4"/>
  <c r="B593" i="4"/>
  <c r="A593" i="4"/>
  <c r="D592" i="4"/>
  <c r="C592" i="4"/>
  <c r="B592" i="4"/>
  <c r="A592" i="4"/>
  <c r="D591" i="4"/>
  <c r="C591" i="4"/>
  <c r="B591" i="4"/>
  <c r="A591" i="4"/>
  <c r="D590" i="4"/>
  <c r="C590" i="4"/>
  <c r="B590" i="4"/>
  <c r="A590" i="4"/>
  <c r="D589" i="4"/>
  <c r="C589" i="4"/>
  <c r="B589" i="4"/>
  <c r="A589" i="4"/>
  <c r="D588" i="4"/>
  <c r="C588" i="4"/>
  <c r="B588" i="4"/>
  <c r="A588" i="4"/>
  <c r="D587" i="4"/>
  <c r="C587" i="4"/>
  <c r="B587" i="4"/>
  <c r="A587" i="4"/>
  <c r="D586" i="4"/>
  <c r="C586" i="4"/>
  <c r="B586" i="4"/>
  <c r="A586" i="4"/>
  <c r="D585" i="4"/>
  <c r="C585" i="4"/>
  <c r="B585" i="4"/>
  <c r="A585" i="4"/>
  <c r="D584" i="4"/>
  <c r="C584" i="4"/>
  <c r="B584" i="4"/>
  <c r="A584" i="4"/>
  <c r="D583" i="4"/>
  <c r="C583" i="4"/>
  <c r="B583" i="4"/>
  <c r="A583" i="4"/>
  <c r="D582" i="4"/>
  <c r="C582" i="4"/>
  <c r="B582" i="4"/>
  <c r="A582" i="4"/>
  <c r="D581" i="4"/>
  <c r="C581" i="4"/>
  <c r="B581" i="4"/>
  <c r="A581" i="4"/>
  <c r="D580" i="4"/>
  <c r="C580" i="4"/>
  <c r="B580" i="4"/>
  <c r="A580" i="4"/>
  <c r="D579" i="4"/>
  <c r="C579" i="4"/>
  <c r="B579" i="4"/>
  <c r="A579" i="4"/>
  <c r="D578" i="4"/>
  <c r="C578" i="4"/>
  <c r="B578" i="4"/>
  <c r="A578" i="4"/>
  <c r="D577" i="4"/>
  <c r="C577" i="4"/>
  <c r="B577" i="4"/>
  <c r="A577" i="4"/>
  <c r="D576" i="4"/>
  <c r="C576" i="4"/>
  <c r="B576" i="4"/>
  <c r="A576" i="4"/>
  <c r="D575" i="4"/>
  <c r="C575" i="4"/>
  <c r="B575" i="4"/>
  <c r="A575" i="4"/>
  <c r="D574" i="4"/>
  <c r="C574" i="4"/>
  <c r="B574" i="4"/>
  <c r="A574" i="4"/>
  <c r="D573" i="4"/>
  <c r="C573" i="4"/>
  <c r="B573" i="4"/>
  <c r="A573" i="4"/>
  <c r="D572" i="4"/>
  <c r="C572" i="4"/>
  <c r="B572" i="4"/>
  <c r="A572" i="4"/>
  <c r="D571" i="4"/>
  <c r="C571" i="4"/>
  <c r="B571" i="4"/>
  <c r="A571" i="4"/>
  <c r="D570" i="4"/>
  <c r="C570" i="4"/>
  <c r="B570" i="4"/>
  <c r="A570" i="4"/>
  <c r="D569" i="4"/>
  <c r="C569" i="4"/>
  <c r="B569" i="4"/>
  <c r="A569" i="4"/>
  <c r="D568" i="4"/>
  <c r="C568" i="4"/>
  <c r="B568" i="4"/>
  <c r="A568" i="4"/>
  <c r="D567" i="4"/>
  <c r="C567" i="4"/>
  <c r="B567" i="4"/>
  <c r="A567" i="4"/>
  <c r="D566" i="4"/>
  <c r="C566" i="4"/>
  <c r="B566" i="4"/>
  <c r="A566" i="4"/>
  <c r="D565" i="4"/>
  <c r="C565" i="4"/>
  <c r="B565" i="4"/>
  <c r="A565" i="4"/>
  <c r="D564" i="4"/>
  <c r="C564" i="4"/>
  <c r="B564" i="4"/>
  <c r="A564" i="4"/>
  <c r="D563" i="4"/>
  <c r="C563" i="4"/>
  <c r="B563" i="4"/>
  <c r="A563" i="4"/>
  <c r="D562" i="4"/>
  <c r="C562" i="4"/>
  <c r="B562" i="4"/>
  <c r="A562" i="4"/>
  <c r="D561" i="4"/>
  <c r="C561" i="4"/>
  <c r="B561" i="4"/>
  <c r="A561" i="4"/>
  <c r="D560" i="4"/>
  <c r="C560" i="4"/>
  <c r="B560" i="4"/>
  <c r="A560" i="4"/>
  <c r="D559" i="4"/>
  <c r="C559" i="4"/>
  <c r="B559" i="4"/>
  <c r="A559" i="4"/>
  <c r="D558" i="4"/>
  <c r="C558" i="4"/>
  <c r="B558" i="4"/>
  <c r="A558" i="4"/>
  <c r="D557" i="4"/>
  <c r="C557" i="4"/>
  <c r="B557" i="4"/>
  <c r="A557" i="4"/>
  <c r="D556" i="4"/>
  <c r="C556" i="4"/>
  <c r="B556" i="4"/>
  <c r="A556" i="4"/>
  <c r="D555" i="4"/>
  <c r="C555" i="4"/>
  <c r="B555" i="4"/>
  <c r="A555" i="4"/>
  <c r="D554" i="4"/>
  <c r="C554" i="4"/>
  <c r="B554" i="4"/>
  <c r="A554" i="4"/>
  <c r="D553" i="4"/>
  <c r="C553" i="4"/>
  <c r="B553" i="4"/>
  <c r="A553" i="4"/>
  <c r="D552" i="4"/>
  <c r="C552" i="4"/>
  <c r="B552" i="4"/>
  <c r="A552" i="4"/>
  <c r="D551" i="4"/>
  <c r="C551" i="4"/>
  <c r="B551" i="4"/>
  <c r="A551" i="4"/>
  <c r="D550" i="4"/>
  <c r="C550" i="4"/>
  <c r="B550" i="4"/>
  <c r="A550" i="4"/>
  <c r="D549" i="4"/>
  <c r="C549" i="4"/>
  <c r="B549" i="4"/>
  <c r="A549" i="4"/>
  <c r="D548" i="4"/>
  <c r="C548" i="4"/>
  <c r="B548" i="4"/>
  <c r="A548" i="4"/>
  <c r="D547" i="4"/>
  <c r="C547" i="4"/>
  <c r="B547" i="4"/>
  <c r="A547" i="4"/>
  <c r="D546" i="4"/>
  <c r="C546" i="4"/>
  <c r="B546" i="4"/>
  <c r="A546" i="4"/>
  <c r="D545" i="4"/>
  <c r="C545" i="4"/>
  <c r="B545" i="4"/>
  <c r="A545" i="4"/>
  <c r="D544" i="4"/>
  <c r="C544" i="4"/>
  <c r="B544" i="4"/>
  <c r="A544" i="4"/>
  <c r="D543" i="4"/>
  <c r="C543" i="4"/>
  <c r="B543" i="4"/>
  <c r="A543" i="4"/>
  <c r="D542" i="4"/>
  <c r="C542" i="4"/>
  <c r="B542" i="4"/>
  <c r="A542" i="4"/>
  <c r="D541" i="4"/>
  <c r="C541" i="4"/>
  <c r="B541" i="4"/>
  <c r="A541" i="4"/>
  <c r="D540" i="4"/>
  <c r="C540" i="4"/>
  <c r="B540" i="4"/>
  <c r="A540" i="4"/>
  <c r="D539" i="4"/>
  <c r="C539" i="4"/>
  <c r="B539" i="4"/>
  <c r="A539" i="4"/>
  <c r="D538" i="4"/>
  <c r="C538" i="4"/>
  <c r="B538" i="4"/>
  <c r="A538" i="4"/>
  <c r="D537" i="4"/>
  <c r="C537" i="4"/>
  <c r="B537" i="4"/>
  <c r="A537" i="4"/>
  <c r="D536" i="4"/>
  <c r="C536" i="4"/>
  <c r="B536" i="4"/>
  <c r="A536" i="4"/>
  <c r="D535" i="4"/>
  <c r="C535" i="4"/>
  <c r="B535" i="4"/>
  <c r="A535" i="4"/>
  <c r="D534" i="4"/>
  <c r="C534" i="4"/>
  <c r="B534" i="4"/>
  <c r="A534" i="4"/>
  <c r="D533" i="4"/>
  <c r="C533" i="4"/>
  <c r="B533" i="4"/>
  <c r="A533" i="4"/>
  <c r="D532" i="4"/>
  <c r="C532" i="4"/>
  <c r="B532" i="4"/>
  <c r="A532" i="4"/>
  <c r="D531" i="4"/>
  <c r="C531" i="4"/>
  <c r="B531" i="4"/>
  <c r="A531" i="4"/>
  <c r="D530" i="4"/>
  <c r="C530" i="4"/>
  <c r="B530" i="4"/>
  <c r="A530" i="4"/>
  <c r="D529" i="4"/>
  <c r="C529" i="4"/>
  <c r="B529" i="4"/>
  <c r="A529" i="4"/>
  <c r="D528" i="4"/>
  <c r="C528" i="4"/>
  <c r="B528" i="4"/>
  <c r="A528" i="4"/>
  <c r="D527" i="4"/>
  <c r="C527" i="4"/>
  <c r="B527" i="4"/>
  <c r="A527" i="4"/>
  <c r="D526" i="4"/>
  <c r="C526" i="4"/>
  <c r="B526" i="4"/>
  <c r="A526" i="4"/>
  <c r="D525" i="4"/>
  <c r="C525" i="4"/>
  <c r="B525" i="4"/>
  <c r="A525" i="4"/>
  <c r="D524" i="4"/>
  <c r="C524" i="4"/>
  <c r="B524" i="4"/>
  <c r="A524" i="4"/>
  <c r="D523" i="4"/>
  <c r="C523" i="4"/>
  <c r="B523" i="4"/>
  <c r="A523" i="4"/>
  <c r="D522" i="4"/>
  <c r="C522" i="4"/>
  <c r="B522" i="4"/>
  <c r="A522" i="4"/>
  <c r="D521" i="4"/>
  <c r="C521" i="4"/>
  <c r="B521" i="4"/>
  <c r="A521" i="4"/>
  <c r="D520" i="4"/>
  <c r="C520" i="4"/>
  <c r="B520" i="4"/>
  <c r="A520" i="4"/>
  <c r="D519" i="4"/>
  <c r="C519" i="4"/>
  <c r="B519" i="4"/>
  <c r="A519" i="4"/>
  <c r="D518" i="4"/>
  <c r="C518" i="4"/>
  <c r="B518" i="4"/>
  <c r="A518" i="4"/>
  <c r="D517" i="4"/>
  <c r="C517" i="4"/>
  <c r="B517" i="4"/>
  <c r="A517" i="4"/>
  <c r="D516" i="4"/>
  <c r="C516" i="4"/>
  <c r="B516" i="4"/>
  <c r="A516" i="4"/>
  <c r="D515" i="4"/>
  <c r="C515" i="4"/>
  <c r="B515" i="4"/>
  <c r="A515" i="4"/>
  <c r="D514" i="4"/>
  <c r="C514" i="4"/>
  <c r="B514" i="4"/>
  <c r="A514" i="4"/>
  <c r="D513" i="4"/>
  <c r="C513" i="4"/>
  <c r="B513" i="4"/>
  <c r="A513" i="4"/>
  <c r="D512" i="4"/>
  <c r="C512" i="4"/>
  <c r="B512" i="4"/>
  <c r="A512" i="4"/>
  <c r="D511" i="4"/>
  <c r="C511" i="4"/>
  <c r="B511" i="4"/>
  <c r="A511" i="4"/>
  <c r="D510" i="4"/>
  <c r="C510" i="4"/>
  <c r="B510" i="4"/>
  <c r="A510" i="4"/>
  <c r="D509" i="4"/>
  <c r="C509" i="4"/>
  <c r="B509" i="4"/>
  <c r="A509" i="4"/>
  <c r="D508" i="4"/>
  <c r="C508" i="4"/>
  <c r="B508" i="4"/>
  <c r="A508" i="4"/>
  <c r="D507" i="4"/>
  <c r="C507" i="4"/>
  <c r="B507" i="4"/>
  <c r="A507" i="4"/>
  <c r="D506" i="4"/>
  <c r="C506" i="4"/>
  <c r="B506" i="4"/>
  <c r="A506" i="4"/>
  <c r="D505" i="4"/>
  <c r="C505" i="4"/>
  <c r="B505" i="4"/>
  <c r="A505" i="4"/>
  <c r="D504" i="4"/>
  <c r="C504" i="4"/>
  <c r="B504" i="4"/>
  <c r="A504" i="4"/>
  <c r="D503" i="4"/>
  <c r="C503" i="4"/>
  <c r="B503" i="4"/>
  <c r="A503" i="4"/>
  <c r="D502" i="4"/>
  <c r="C502" i="4"/>
  <c r="B502" i="4"/>
  <c r="A502" i="4"/>
  <c r="D501" i="4"/>
  <c r="C501" i="4"/>
  <c r="B501" i="4"/>
  <c r="A501" i="4"/>
  <c r="D500" i="4"/>
  <c r="C500" i="4"/>
  <c r="B500" i="4"/>
  <c r="A500" i="4"/>
  <c r="D499" i="4"/>
  <c r="C499" i="4"/>
  <c r="B499" i="4"/>
  <c r="A499" i="4"/>
  <c r="D498" i="4"/>
  <c r="C498" i="4"/>
  <c r="B498" i="4"/>
  <c r="A498" i="4"/>
  <c r="D497" i="4"/>
  <c r="C497" i="4"/>
  <c r="B497" i="4"/>
  <c r="A497" i="4"/>
  <c r="D496" i="4"/>
  <c r="C496" i="4"/>
  <c r="B496" i="4"/>
  <c r="A496" i="4"/>
  <c r="D495" i="4"/>
  <c r="C495" i="4"/>
  <c r="B495" i="4"/>
  <c r="A495" i="4"/>
  <c r="D494" i="4"/>
  <c r="C494" i="4"/>
  <c r="B494" i="4"/>
  <c r="A494" i="4"/>
  <c r="D493" i="4"/>
  <c r="C493" i="4"/>
  <c r="B493" i="4"/>
  <c r="A493" i="4"/>
  <c r="D492" i="4"/>
  <c r="C492" i="4"/>
  <c r="B492" i="4"/>
  <c r="A492" i="4"/>
  <c r="D491" i="4"/>
  <c r="C491" i="4"/>
  <c r="B491" i="4"/>
  <c r="A491" i="4"/>
  <c r="D490" i="4"/>
  <c r="C490" i="4"/>
  <c r="B490" i="4"/>
  <c r="A490" i="4"/>
  <c r="D489" i="4"/>
  <c r="C489" i="4"/>
  <c r="B489" i="4"/>
  <c r="A489" i="4"/>
  <c r="D488" i="4"/>
  <c r="C488" i="4"/>
  <c r="B488" i="4"/>
  <c r="A488" i="4"/>
  <c r="D487" i="4"/>
  <c r="C487" i="4"/>
  <c r="B487" i="4"/>
  <c r="A487" i="4"/>
  <c r="D486" i="4"/>
  <c r="C486" i="4"/>
  <c r="B486" i="4"/>
  <c r="A486" i="4"/>
  <c r="D485" i="4"/>
  <c r="C485" i="4"/>
  <c r="B485" i="4"/>
  <c r="A485" i="4"/>
  <c r="D484" i="4"/>
  <c r="C484" i="4"/>
  <c r="B484" i="4"/>
  <c r="A484" i="4"/>
  <c r="D483" i="4"/>
  <c r="C483" i="4"/>
  <c r="B483" i="4"/>
  <c r="A483" i="4"/>
  <c r="D482" i="4"/>
  <c r="C482" i="4"/>
  <c r="B482" i="4"/>
  <c r="A482" i="4"/>
  <c r="D481" i="4"/>
  <c r="C481" i="4"/>
  <c r="B481" i="4"/>
  <c r="A481" i="4"/>
  <c r="D480" i="4"/>
  <c r="C480" i="4"/>
  <c r="B480" i="4"/>
  <c r="A480" i="4"/>
  <c r="D479" i="4"/>
  <c r="C479" i="4"/>
  <c r="B479" i="4"/>
  <c r="A479" i="4"/>
  <c r="D478" i="4"/>
  <c r="C478" i="4"/>
  <c r="B478" i="4"/>
  <c r="A478" i="4"/>
  <c r="D477" i="4"/>
  <c r="C477" i="4"/>
  <c r="B477" i="4"/>
  <c r="A477" i="4"/>
  <c r="D476" i="4"/>
  <c r="C476" i="4"/>
  <c r="B476" i="4"/>
  <c r="A476" i="4"/>
  <c r="D475" i="4"/>
  <c r="C475" i="4"/>
  <c r="B475" i="4"/>
  <c r="A475" i="4"/>
  <c r="D474" i="4"/>
  <c r="C474" i="4"/>
  <c r="B474" i="4"/>
  <c r="A474" i="4"/>
  <c r="D473" i="4"/>
  <c r="C473" i="4"/>
  <c r="B473" i="4"/>
  <c r="A473" i="4"/>
  <c r="D472" i="4"/>
  <c r="C472" i="4"/>
  <c r="B472" i="4"/>
  <c r="A472" i="4"/>
  <c r="D471" i="4"/>
  <c r="C471" i="4"/>
  <c r="B471" i="4"/>
  <c r="A471" i="4"/>
  <c r="D470" i="4"/>
  <c r="C470" i="4"/>
  <c r="B470" i="4"/>
  <c r="A470" i="4"/>
  <c r="D469" i="4"/>
  <c r="C469" i="4"/>
  <c r="B469" i="4"/>
  <c r="A469" i="4"/>
  <c r="D468" i="4"/>
  <c r="C468" i="4"/>
  <c r="B468" i="4"/>
  <c r="A468" i="4"/>
  <c r="D467" i="4"/>
  <c r="C467" i="4"/>
  <c r="B467" i="4"/>
  <c r="A467" i="4"/>
  <c r="D466" i="4"/>
  <c r="C466" i="4"/>
  <c r="B466" i="4"/>
  <c r="A466" i="4"/>
  <c r="D465" i="4"/>
  <c r="C465" i="4"/>
  <c r="B465" i="4"/>
  <c r="A465" i="4"/>
  <c r="D464" i="4"/>
  <c r="C464" i="4"/>
  <c r="B464" i="4"/>
  <c r="A464" i="4"/>
  <c r="D463" i="4"/>
  <c r="C463" i="4"/>
  <c r="B463" i="4"/>
  <c r="A463" i="4"/>
  <c r="D462" i="4"/>
  <c r="C462" i="4"/>
  <c r="B462" i="4"/>
  <c r="A462" i="4"/>
  <c r="D461" i="4"/>
  <c r="C461" i="4"/>
  <c r="B461" i="4"/>
  <c r="A461" i="4"/>
  <c r="D460" i="4"/>
  <c r="C460" i="4"/>
  <c r="B460" i="4"/>
  <c r="A460" i="4"/>
  <c r="D459" i="4"/>
  <c r="C459" i="4"/>
  <c r="B459" i="4"/>
  <c r="A459" i="4"/>
  <c r="D458" i="4"/>
  <c r="C458" i="4"/>
  <c r="B458" i="4"/>
  <c r="A458" i="4"/>
  <c r="D457" i="4"/>
  <c r="C457" i="4"/>
  <c r="B457" i="4"/>
  <c r="A457" i="4"/>
  <c r="D456" i="4"/>
  <c r="C456" i="4"/>
  <c r="B456" i="4"/>
  <c r="A456" i="4"/>
  <c r="D455" i="4"/>
  <c r="C455" i="4"/>
  <c r="B455" i="4"/>
  <c r="A455" i="4"/>
  <c r="D454" i="4"/>
  <c r="C454" i="4"/>
  <c r="B454" i="4"/>
  <c r="A454" i="4"/>
  <c r="D453" i="4"/>
  <c r="C453" i="4"/>
  <c r="B453" i="4"/>
  <c r="A453" i="4"/>
  <c r="D452" i="4"/>
  <c r="C452" i="4"/>
  <c r="B452" i="4"/>
  <c r="A452" i="4"/>
  <c r="D451" i="4"/>
  <c r="C451" i="4"/>
  <c r="B451" i="4"/>
  <c r="A451" i="4"/>
  <c r="D450" i="4"/>
  <c r="C450" i="4"/>
  <c r="B450" i="4"/>
  <c r="A450" i="4"/>
  <c r="D449" i="4"/>
  <c r="C449" i="4"/>
  <c r="B449" i="4"/>
  <c r="A449" i="4"/>
  <c r="D448" i="4"/>
  <c r="C448" i="4"/>
  <c r="B448" i="4"/>
  <c r="A448" i="4"/>
  <c r="D447" i="4"/>
  <c r="C447" i="4"/>
  <c r="B447" i="4"/>
  <c r="A447" i="4"/>
  <c r="D446" i="4"/>
  <c r="C446" i="4"/>
  <c r="B446" i="4"/>
  <c r="A446" i="4"/>
  <c r="D445" i="4"/>
  <c r="C445" i="4"/>
  <c r="B445" i="4"/>
  <c r="A445" i="4"/>
  <c r="D444" i="4"/>
  <c r="C444" i="4"/>
  <c r="B444" i="4"/>
  <c r="A444" i="4"/>
  <c r="D443" i="4"/>
  <c r="C443" i="4"/>
  <c r="B443" i="4"/>
  <c r="A443" i="4"/>
  <c r="D442" i="4"/>
  <c r="C442" i="4"/>
  <c r="B442" i="4"/>
  <c r="A442" i="4"/>
  <c r="D441" i="4"/>
  <c r="C441" i="4"/>
  <c r="B441" i="4"/>
  <c r="A441" i="4"/>
  <c r="D440" i="4"/>
  <c r="C440" i="4"/>
  <c r="B440" i="4"/>
  <c r="A440" i="4"/>
  <c r="D439" i="4"/>
  <c r="C439" i="4"/>
  <c r="B439" i="4"/>
  <c r="A439" i="4"/>
  <c r="D438" i="4"/>
  <c r="C438" i="4"/>
  <c r="B438" i="4"/>
  <c r="A438" i="4"/>
  <c r="D437" i="4"/>
  <c r="C437" i="4"/>
  <c r="B437" i="4"/>
  <c r="A437" i="4"/>
  <c r="D436" i="4"/>
  <c r="C436" i="4"/>
  <c r="B436" i="4"/>
  <c r="A436" i="4"/>
  <c r="D435" i="4"/>
  <c r="C435" i="4"/>
  <c r="B435" i="4"/>
  <c r="A435" i="4"/>
  <c r="D434" i="4"/>
  <c r="C434" i="4"/>
  <c r="B434" i="4"/>
  <c r="A434" i="4"/>
  <c r="D433" i="4"/>
  <c r="C433" i="4"/>
  <c r="B433" i="4"/>
  <c r="A433" i="4"/>
  <c r="D432" i="4"/>
  <c r="C432" i="4"/>
  <c r="B432" i="4"/>
  <c r="A432" i="4"/>
  <c r="D431" i="4"/>
  <c r="C431" i="4"/>
  <c r="B431" i="4"/>
  <c r="A431" i="4"/>
  <c r="D430" i="4"/>
  <c r="C430" i="4"/>
  <c r="B430" i="4"/>
  <c r="A430" i="4"/>
  <c r="D429" i="4"/>
  <c r="C429" i="4"/>
  <c r="B429" i="4"/>
  <c r="A429" i="4"/>
  <c r="D428" i="4"/>
  <c r="C428" i="4"/>
  <c r="B428" i="4"/>
  <c r="A428" i="4"/>
  <c r="D427" i="4"/>
  <c r="C427" i="4"/>
  <c r="B427" i="4"/>
  <c r="A427" i="4"/>
  <c r="D426" i="4"/>
  <c r="C426" i="4"/>
  <c r="B426" i="4"/>
  <c r="A426" i="4"/>
  <c r="D425" i="4"/>
  <c r="C425" i="4"/>
  <c r="B425" i="4"/>
  <c r="A425" i="4"/>
  <c r="D424" i="4"/>
  <c r="C424" i="4"/>
  <c r="B424" i="4"/>
  <c r="A424" i="4"/>
  <c r="D423" i="4"/>
  <c r="C423" i="4"/>
  <c r="B423" i="4"/>
  <c r="A423" i="4"/>
  <c r="D422" i="4"/>
  <c r="C422" i="4"/>
  <c r="B422" i="4"/>
  <c r="A422" i="4"/>
  <c r="D421" i="4"/>
  <c r="C421" i="4"/>
  <c r="B421" i="4"/>
  <c r="A421" i="4"/>
  <c r="D420" i="4"/>
  <c r="C420" i="4"/>
  <c r="B420" i="4"/>
  <c r="A420" i="4"/>
  <c r="D419" i="4"/>
  <c r="C419" i="4"/>
  <c r="B419" i="4"/>
  <c r="A419" i="4"/>
  <c r="D418" i="4"/>
  <c r="C418" i="4"/>
  <c r="B418" i="4"/>
  <c r="A418" i="4"/>
  <c r="D417" i="4"/>
  <c r="C417" i="4"/>
  <c r="B417" i="4"/>
  <c r="A417" i="4"/>
  <c r="D416" i="4"/>
  <c r="C416" i="4"/>
  <c r="B416" i="4"/>
  <c r="A416" i="4"/>
  <c r="D415" i="4"/>
  <c r="C415" i="4"/>
  <c r="B415" i="4"/>
  <c r="A415" i="4"/>
  <c r="D414" i="4"/>
  <c r="C414" i="4"/>
  <c r="B414" i="4"/>
  <c r="A414" i="4"/>
  <c r="D413" i="4"/>
  <c r="C413" i="4"/>
  <c r="B413" i="4"/>
  <c r="A413" i="4"/>
  <c r="D412" i="4"/>
  <c r="C412" i="4"/>
  <c r="B412" i="4"/>
  <c r="A412" i="4"/>
  <c r="D411" i="4"/>
  <c r="C411" i="4"/>
  <c r="B411" i="4"/>
  <c r="A411" i="4"/>
  <c r="D410" i="4"/>
  <c r="C410" i="4"/>
  <c r="B410" i="4"/>
  <c r="A410" i="4"/>
  <c r="D409" i="4"/>
  <c r="C409" i="4"/>
  <c r="B409" i="4"/>
  <c r="A409" i="4"/>
  <c r="D408" i="4"/>
  <c r="C408" i="4"/>
  <c r="B408" i="4"/>
  <c r="A408" i="4"/>
  <c r="D407" i="4"/>
  <c r="C407" i="4"/>
  <c r="B407" i="4"/>
  <c r="A407" i="4"/>
  <c r="D406" i="4"/>
  <c r="C406" i="4"/>
  <c r="B406" i="4"/>
  <c r="A406" i="4"/>
  <c r="D405" i="4"/>
  <c r="C405" i="4"/>
  <c r="B405" i="4"/>
  <c r="A405" i="4"/>
  <c r="D404" i="4"/>
  <c r="C404" i="4"/>
  <c r="B404" i="4"/>
  <c r="A404" i="4"/>
  <c r="D403" i="4"/>
  <c r="C403" i="4"/>
  <c r="B403" i="4"/>
  <c r="A403" i="4"/>
  <c r="D402" i="4"/>
  <c r="C402" i="4"/>
  <c r="B402" i="4"/>
  <c r="A402" i="4"/>
  <c r="D401" i="4"/>
  <c r="C401" i="4"/>
  <c r="B401" i="4"/>
  <c r="A401" i="4"/>
  <c r="D400" i="4"/>
  <c r="C400" i="4"/>
  <c r="B400" i="4"/>
  <c r="A400" i="4"/>
  <c r="D399" i="4"/>
  <c r="C399" i="4"/>
  <c r="B399" i="4"/>
  <c r="A399" i="4"/>
  <c r="D398" i="4"/>
  <c r="C398" i="4"/>
  <c r="B398" i="4"/>
  <c r="A398" i="4"/>
  <c r="D397" i="4"/>
  <c r="C397" i="4"/>
  <c r="B397" i="4"/>
  <c r="A397" i="4"/>
  <c r="D396" i="4"/>
  <c r="C396" i="4"/>
  <c r="B396" i="4"/>
  <c r="A396" i="4"/>
  <c r="D395" i="4"/>
  <c r="C395" i="4"/>
  <c r="B395" i="4"/>
  <c r="A395" i="4"/>
  <c r="D394" i="4"/>
  <c r="C394" i="4"/>
  <c r="B394" i="4"/>
  <c r="A394" i="4"/>
  <c r="D393" i="4"/>
  <c r="C393" i="4"/>
  <c r="B393" i="4"/>
  <c r="A393" i="4"/>
  <c r="D392" i="4"/>
  <c r="C392" i="4"/>
  <c r="B392" i="4"/>
  <c r="A392" i="4"/>
  <c r="D391" i="4"/>
  <c r="C391" i="4"/>
  <c r="B391" i="4"/>
  <c r="A391" i="4"/>
  <c r="D390" i="4"/>
  <c r="C390" i="4"/>
  <c r="B390" i="4"/>
  <c r="A390" i="4"/>
  <c r="D389" i="4"/>
  <c r="C389" i="4"/>
  <c r="B389" i="4"/>
  <c r="A389" i="4"/>
  <c r="D388" i="4"/>
  <c r="C388" i="4"/>
  <c r="B388" i="4"/>
  <c r="A388" i="4"/>
  <c r="D387" i="4"/>
  <c r="C387" i="4"/>
  <c r="B387" i="4"/>
  <c r="A387" i="4"/>
  <c r="D386" i="4"/>
  <c r="C386" i="4"/>
  <c r="B386" i="4"/>
  <c r="A386" i="4"/>
  <c r="D385" i="4"/>
  <c r="C385" i="4"/>
  <c r="B385" i="4"/>
  <c r="A385" i="4"/>
  <c r="D384" i="4"/>
  <c r="C384" i="4"/>
  <c r="B384" i="4"/>
  <c r="A384" i="4"/>
  <c r="D383" i="4"/>
  <c r="C383" i="4"/>
  <c r="B383" i="4"/>
  <c r="A383" i="4"/>
  <c r="D382" i="4"/>
  <c r="C382" i="4"/>
  <c r="B382" i="4"/>
  <c r="A382" i="4"/>
  <c r="D381" i="4"/>
  <c r="C381" i="4"/>
  <c r="B381" i="4"/>
  <c r="A381" i="4"/>
  <c r="D380" i="4"/>
  <c r="C380" i="4"/>
  <c r="B380" i="4"/>
  <c r="A380" i="4"/>
  <c r="D379" i="4"/>
  <c r="C379" i="4"/>
  <c r="B379" i="4"/>
  <c r="A379" i="4"/>
  <c r="D378" i="4"/>
  <c r="C378" i="4"/>
  <c r="B378" i="4"/>
  <c r="A378" i="4"/>
  <c r="D377" i="4"/>
  <c r="C377" i="4"/>
  <c r="B377" i="4"/>
  <c r="A377" i="4"/>
  <c r="D376" i="4"/>
  <c r="C376" i="4"/>
  <c r="B376" i="4"/>
  <c r="A376" i="4"/>
  <c r="D375" i="4"/>
  <c r="C375" i="4"/>
  <c r="B375" i="4"/>
  <c r="A375" i="4"/>
  <c r="D374" i="4"/>
  <c r="C374" i="4"/>
  <c r="B374" i="4"/>
  <c r="A374" i="4"/>
  <c r="D373" i="4"/>
  <c r="C373" i="4"/>
  <c r="B373" i="4"/>
  <c r="A373" i="4"/>
  <c r="D372" i="4"/>
  <c r="C372" i="4"/>
  <c r="B372" i="4"/>
  <c r="A372" i="4"/>
  <c r="D371" i="4"/>
  <c r="C371" i="4"/>
  <c r="B371" i="4"/>
  <c r="A371" i="4"/>
  <c r="D370" i="4"/>
  <c r="C370" i="4"/>
  <c r="B370" i="4"/>
  <c r="A370" i="4"/>
  <c r="D369" i="4"/>
  <c r="C369" i="4"/>
  <c r="B369" i="4"/>
  <c r="A369" i="4"/>
  <c r="D368" i="4"/>
  <c r="C368" i="4"/>
  <c r="B368" i="4"/>
  <c r="A368" i="4"/>
  <c r="D367" i="4"/>
  <c r="C367" i="4"/>
  <c r="B367" i="4"/>
  <c r="A367" i="4"/>
  <c r="D366" i="4"/>
  <c r="C366" i="4"/>
  <c r="B366" i="4"/>
  <c r="A366" i="4"/>
  <c r="D365" i="4"/>
  <c r="C365" i="4"/>
  <c r="B365" i="4"/>
  <c r="A365" i="4"/>
  <c r="D364" i="4"/>
  <c r="C364" i="4"/>
  <c r="B364" i="4"/>
  <c r="A364" i="4"/>
  <c r="D363" i="4"/>
  <c r="C363" i="4"/>
  <c r="B363" i="4"/>
  <c r="A363" i="4"/>
  <c r="D362" i="4"/>
  <c r="C362" i="4"/>
  <c r="B362" i="4"/>
  <c r="A362" i="4"/>
  <c r="D361" i="4"/>
  <c r="C361" i="4"/>
  <c r="B361" i="4"/>
  <c r="A361" i="4"/>
  <c r="D360" i="4"/>
  <c r="C360" i="4"/>
  <c r="B360" i="4"/>
  <c r="A360" i="4"/>
  <c r="D359" i="4"/>
  <c r="C359" i="4"/>
  <c r="B359" i="4"/>
  <c r="A359" i="4"/>
  <c r="D358" i="4"/>
  <c r="C358" i="4"/>
  <c r="B358" i="4"/>
  <c r="A358" i="4"/>
  <c r="D357" i="4"/>
  <c r="C357" i="4"/>
  <c r="B357" i="4"/>
  <c r="A357" i="4"/>
  <c r="D356" i="4"/>
  <c r="C356" i="4"/>
  <c r="B356" i="4"/>
  <c r="A356" i="4"/>
  <c r="D355" i="4"/>
  <c r="C355" i="4"/>
  <c r="B355" i="4"/>
  <c r="A355" i="4"/>
  <c r="D354" i="4"/>
  <c r="C354" i="4"/>
  <c r="B354" i="4"/>
  <c r="A354" i="4"/>
  <c r="D353" i="4"/>
  <c r="C353" i="4"/>
  <c r="B353" i="4"/>
  <c r="A353" i="4"/>
  <c r="D352" i="4"/>
  <c r="C352" i="4"/>
  <c r="B352" i="4"/>
  <c r="A352" i="4"/>
  <c r="D351" i="4"/>
  <c r="C351" i="4"/>
  <c r="B351" i="4"/>
  <c r="A351" i="4"/>
  <c r="D350" i="4"/>
  <c r="C350" i="4"/>
  <c r="B350" i="4"/>
  <c r="A350" i="4"/>
  <c r="D349" i="4"/>
  <c r="C349" i="4"/>
  <c r="B349" i="4"/>
  <c r="A349" i="4"/>
  <c r="D348" i="4"/>
  <c r="C348" i="4"/>
  <c r="B348" i="4"/>
  <c r="A348" i="4"/>
  <c r="D347" i="4"/>
  <c r="C347" i="4"/>
  <c r="B347" i="4"/>
  <c r="A347" i="4"/>
  <c r="D346" i="4"/>
  <c r="C346" i="4"/>
  <c r="B346" i="4"/>
  <c r="A346" i="4"/>
  <c r="D345" i="4"/>
  <c r="C345" i="4"/>
  <c r="B345" i="4"/>
  <c r="A345" i="4"/>
  <c r="D344" i="4"/>
  <c r="C344" i="4"/>
  <c r="B344" i="4"/>
  <c r="A344" i="4"/>
  <c r="D343" i="4"/>
  <c r="C343" i="4"/>
  <c r="B343" i="4"/>
  <c r="A343" i="4"/>
  <c r="D342" i="4"/>
  <c r="C342" i="4"/>
  <c r="B342" i="4"/>
  <c r="A342" i="4"/>
  <c r="D341" i="4"/>
  <c r="C341" i="4"/>
  <c r="B341" i="4"/>
  <c r="A341" i="4"/>
  <c r="D340" i="4"/>
  <c r="C340" i="4"/>
  <c r="B340" i="4"/>
  <c r="A340" i="4"/>
  <c r="D339" i="4"/>
  <c r="C339" i="4"/>
  <c r="B339" i="4"/>
  <c r="A339" i="4"/>
  <c r="D338" i="4"/>
  <c r="C338" i="4"/>
  <c r="B338" i="4"/>
  <c r="A338" i="4"/>
  <c r="D337" i="4"/>
  <c r="C337" i="4"/>
  <c r="B337" i="4"/>
  <c r="A337" i="4"/>
  <c r="D336" i="4"/>
  <c r="C336" i="4"/>
  <c r="B336" i="4"/>
  <c r="A336" i="4"/>
  <c r="D335" i="4"/>
  <c r="C335" i="4"/>
  <c r="B335" i="4"/>
  <c r="A335" i="4"/>
  <c r="D334" i="4"/>
  <c r="C334" i="4"/>
  <c r="B334" i="4"/>
  <c r="A334" i="4"/>
  <c r="D333" i="4"/>
  <c r="C333" i="4"/>
  <c r="B333" i="4"/>
  <c r="A333" i="4"/>
  <c r="D332" i="4"/>
  <c r="C332" i="4"/>
  <c r="B332" i="4"/>
  <c r="A332" i="4"/>
  <c r="D331" i="4"/>
  <c r="C331" i="4"/>
  <c r="B331" i="4"/>
  <c r="A331" i="4"/>
  <c r="D330" i="4"/>
  <c r="C330" i="4"/>
  <c r="B330" i="4"/>
  <c r="A330" i="4"/>
  <c r="D329" i="4"/>
  <c r="C329" i="4"/>
  <c r="B329" i="4"/>
  <c r="A329" i="4"/>
  <c r="D328" i="4"/>
  <c r="C328" i="4"/>
  <c r="B328" i="4"/>
  <c r="A328" i="4"/>
  <c r="D327" i="4"/>
  <c r="C327" i="4"/>
  <c r="B327" i="4"/>
  <c r="A327" i="4"/>
  <c r="D326" i="4"/>
  <c r="C326" i="4"/>
  <c r="B326" i="4"/>
  <c r="A326" i="4"/>
  <c r="D325" i="4"/>
  <c r="C325" i="4"/>
  <c r="B325" i="4"/>
  <c r="A325" i="4"/>
  <c r="D324" i="4"/>
  <c r="C324" i="4"/>
  <c r="B324" i="4"/>
  <c r="A324" i="4"/>
  <c r="D323" i="4"/>
  <c r="C323" i="4"/>
  <c r="B323" i="4"/>
  <c r="A323" i="4"/>
  <c r="D322" i="4"/>
  <c r="C322" i="4"/>
  <c r="B322" i="4"/>
  <c r="A322" i="4"/>
  <c r="D321" i="4"/>
  <c r="C321" i="4"/>
  <c r="B321" i="4"/>
  <c r="A321" i="4"/>
  <c r="D320" i="4"/>
  <c r="C320" i="4"/>
  <c r="B320" i="4"/>
  <c r="A320" i="4"/>
  <c r="D319" i="4"/>
  <c r="C319" i="4"/>
  <c r="B319" i="4"/>
  <c r="A319" i="4"/>
  <c r="D318" i="4"/>
  <c r="C318" i="4"/>
  <c r="B318" i="4"/>
  <c r="A318" i="4"/>
  <c r="D317" i="4"/>
  <c r="C317" i="4"/>
  <c r="B317" i="4"/>
  <c r="A317" i="4"/>
  <c r="D316" i="4"/>
  <c r="C316" i="4"/>
  <c r="B316" i="4"/>
  <c r="A316" i="4"/>
  <c r="D315" i="4"/>
  <c r="C315" i="4"/>
  <c r="B315" i="4"/>
  <c r="A315" i="4"/>
  <c r="D314" i="4"/>
  <c r="C314" i="4"/>
  <c r="B314" i="4"/>
  <c r="A314" i="4"/>
  <c r="D313" i="4"/>
  <c r="C313" i="4"/>
  <c r="B313" i="4"/>
  <c r="A313" i="4"/>
  <c r="D312" i="4"/>
  <c r="C312" i="4"/>
  <c r="B312" i="4"/>
  <c r="A312" i="4"/>
  <c r="D311" i="4"/>
  <c r="C311" i="4"/>
  <c r="B311" i="4"/>
  <c r="A311" i="4"/>
  <c r="D310" i="4"/>
  <c r="C310" i="4"/>
  <c r="B310" i="4"/>
  <c r="A310" i="4"/>
  <c r="D309" i="4"/>
  <c r="C309" i="4"/>
  <c r="B309" i="4"/>
  <c r="A309" i="4"/>
  <c r="D308" i="4"/>
  <c r="C308" i="4"/>
  <c r="B308" i="4"/>
  <c r="A308" i="4"/>
  <c r="D307" i="4"/>
  <c r="C307" i="4"/>
  <c r="B307" i="4"/>
  <c r="A307" i="4"/>
  <c r="D306" i="4"/>
  <c r="C306" i="4"/>
  <c r="B306" i="4"/>
  <c r="A306" i="4"/>
  <c r="D305" i="4"/>
  <c r="C305" i="4"/>
  <c r="B305" i="4"/>
  <c r="A305" i="4"/>
  <c r="D304" i="4"/>
  <c r="C304" i="4"/>
  <c r="B304" i="4"/>
  <c r="A304" i="4"/>
  <c r="D303" i="4"/>
  <c r="C303" i="4"/>
  <c r="B303" i="4"/>
  <c r="A303" i="4"/>
  <c r="D302" i="4"/>
  <c r="C302" i="4"/>
  <c r="B302" i="4"/>
  <c r="A302" i="4"/>
  <c r="D301" i="4"/>
  <c r="C301" i="4"/>
  <c r="B301" i="4"/>
  <c r="A301" i="4"/>
  <c r="D300" i="4"/>
  <c r="C300" i="4"/>
  <c r="B300" i="4"/>
  <c r="A300" i="4"/>
  <c r="D299" i="4"/>
  <c r="C299" i="4"/>
  <c r="B299" i="4"/>
  <c r="A299" i="4"/>
  <c r="D298" i="4"/>
  <c r="C298" i="4"/>
  <c r="B298" i="4"/>
  <c r="A298" i="4"/>
  <c r="D297" i="4"/>
  <c r="C297" i="4"/>
  <c r="B297" i="4"/>
  <c r="A297" i="4"/>
  <c r="D296" i="4"/>
  <c r="C296" i="4"/>
  <c r="B296" i="4"/>
  <c r="A296" i="4"/>
  <c r="D295" i="4"/>
  <c r="C295" i="4"/>
  <c r="B295" i="4"/>
  <c r="A295" i="4"/>
  <c r="D294" i="4"/>
  <c r="C294" i="4"/>
  <c r="B294" i="4"/>
  <c r="A294" i="4"/>
  <c r="D293" i="4"/>
  <c r="C293" i="4"/>
  <c r="B293" i="4"/>
  <c r="A293" i="4"/>
  <c r="D292" i="4"/>
  <c r="C292" i="4"/>
  <c r="B292" i="4"/>
  <c r="A292" i="4"/>
  <c r="D291" i="4"/>
  <c r="C291" i="4"/>
  <c r="B291" i="4"/>
  <c r="A291" i="4"/>
  <c r="D290" i="4"/>
  <c r="C290" i="4"/>
  <c r="B290" i="4"/>
  <c r="A290" i="4"/>
  <c r="D289" i="4"/>
  <c r="C289" i="4"/>
  <c r="B289" i="4"/>
  <c r="A289" i="4"/>
  <c r="D288" i="4"/>
  <c r="C288" i="4"/>
  <c r="B288" i="4"/>
  <c r="A288" i="4"/>
  <c r="D287" i="4"/>
  <c r="C287" i="4"/>
  <c r="B287" i="4"/>
  <c r="A287" i="4"/>
  <c r="D286" i="4"/>
  <c r="C286" i="4"/>
  <c r="B286" i="4"/>
  <c r="A286" i="4"/>
  <c r="D285" i="4"/>
  <c r="C285" i="4"/>
  <c r="B285" i="4"/>
  <c r="A285" i="4"/>
  <c r="D284" i="4"/>
  <c r="C284" i="4"/>
  <c r="B284" i="4"/>
  <c r="A284" i="4"/>
  <c r="D283" i="4"/>
  <c r="C283" i="4"/>
  <c r="B283" i="4"/>
  <c r="A283" i="4"/>
  <c r="D282" i="4"/>
  <c r="C282" i="4"/>
  <c r="B282" i="4"/>
  <c r="A282" i="4"/>
  <c r="D281" i="4"/>
  <c r="C281" i="4"/>
  <c r="B281" i="4"/>
  <c r="A281" i="4"/>
  <c r="D280" i="4"/>
  <c r="C280" i="4"/>
  <c r="B280" i="4"/>
  <c r="A280" i="4"/>
  <c r="D279" i="4"/>
  <c r="C279" i="4"/>
  <c r="B279" i="4"/>
  <c r="A279" i="4"/>
  <c r="D278" i="4"/>
  <c r="C278" i="4"/>
  <c r="B278" i="4"/>
  <c r="A278" i="4"/>
  <c r="D277" i="4"/>
  <c r="C277" i="4"/>
  <c r="B277" i="4"/>
  <c r="A277" i="4"/>
  <c r="D276" i="4"/>
  <c r="C276" i="4"/>
  <c r="B276" i="4"/>
  <c r="A276" i="4"/>
  <c r="D275" i="4"/>
  <c r="C275" i="4"/>
  <c r="B275" i="4"/>
  <c r="A275" i="4"/>
  <c r="D274" i="4"/>
  <c r="C274" i="4"/>
  <c r="B274" i="4"/>
  <c r="A274" i="4"/>
  <c r="D273" i="4"/>
  <c r="C273" i="4"/>
  <c r="B273" i="4"/>
  <c r="A273" i="4"/>
  <c r="D272" i="4"/>
  <c r="C272" i="4"/>
  <c r="B272" i="4"/>
  <c r="A272" i="4"/>
  <c r="D271" i="4"/>
  <c r="C271" i="4"/>
  <c r="B271" i="4"/>
  <c r="A271" i="4"/>
  <c r="D270" i="4"/>
  <c r="C270" i="4"/>
  <c r="B270" i="4"/>
  <c r="A270" i="4"/>
  <c r="D269" i="4"/>
  <c r="C269" i="4"/>
  <c r="B269" i="4"/>
  <c r="A269" i="4"/>
  <c r="D268" i="4"/>
  <c r="C268" i="4"/>
  <c r="B268" i="4"/>
  <c r="A268" i="4"/>
  <c r="D267" i="4"/>
  <c r="C267" i="4"/>
  <c r="B267" i="4"/>
  <c r="A267" i="4"/>
  <c r="D266" i="4"/>
  <c r="C266" i="4"/>
  <c r="B266" i="4"/>
  <c r="A266" i="4"/>
  <c r="D265" i="4"/>
  <c r="C265" i="4"/>
  <c r="B265" i="4"/>
  <c r="A265" i="4"/>
  <c r="D264" i="4"/>
  <c r="C264" i="4"/>
  <c r="B264" i="4"/>
  <c r="A264" i="4"/>
  <c r="D263" i="4"/>
  <c r="C263" i="4"/>
  <c r="B263" i="4"/>
  <c r="A263" i="4"/>
  <c r="D262" i="4"/>
  <c r="C262" i="4"/>
  <c r="B262" i="4"/>
  <c r="A262" i="4"/>
  <c r="D261" i="4"/>
  <c r="C261" i="4"/>
  <c r="B261" i="4"/>
  <c r="A261" i="4"/>
  <c r="D260" i="4"/>
  <c r="C260" i="4"/>
  <c r="B260" i="4"/>
  <c r="A260" i="4"/>
  <c r="D259" i="4"/>
  <c r="C259" i="4"/>
  <c r="B259" i="4"/>
  <c r="A259" i="4"/>
  <c r="D258" i="4"/>
  <c r="C258" i="4"/>
  <c r="B258" i="4"/>
  <c r="A258" i="4"/>
  <c r="D257" i="4"/>
  <c r="C257" i="4"/>
  <c r="B257" i="4"/>
  <c r="A257" i="4"/>
  <c r="D256" i="4"/>
  <c r="C256" i="4"/>
  <c r="B256" i="4"/>
  <c r="A256" i="4"/>
  <c r="D255" i="4"/>
  <c r="C255" i="4"/>
  <c r="B255" i="4"/>
  <c r="A255" i="4"/>
  <c r="D254" i="4"/>
  <c r="C254" i="4"/>
  <c r="B254" i="4"/>
  <c r="A254" i="4"/>
  <c r="D253" i="4"/>
  <c r="C253" i="4"/>
  <c r="B253" i="4"/>
  <c r="A253" i="4"/>
  <c r="D252" i="4"/>
  <c r="C252" i="4"/>
  <c r="B252" i="4"/>
  <c r="A252" i="4"/>
  <c r="D251" i="4"/>
  <c r="C251" i="4"/>
  <c r="B251" i="4"/>
  <c r="A251" i="4"/>
  <c r="D250" i="4"/>
  <c r="C250" i="4"/>
  <c r="B250" i="4"/>
  <c r="A250" i="4"/>
  <c r="D249" i="4"/>
  <c r="C249" i="4"/>
  <c r="B249" i="4"/>
  <c r="A249" i="4"/>
  <c r="D248" i="4"/>
  <c r="C248" i="4"/>
  <c r="B248" i="4"/>
  <c r="A248" i="4"/>
  <c r="D247" i="4"/>
  <c r="C247" i="4"/>
  <c r="B247" i="4"/>
  <c r="A247" i="4"/>
  <c r="D246" i="4"/>
  <c r="C246" i="4"/>
  <c r="B246" i="4"/>
  <c r="A246" i="4"/>
  <c r="D245" i="4"/>
  <c r="C245" i="4"/>
  <c r="B245" i="4"/>
  <c r="A245" i="4"/>
  <c r="D244" i="4"/>
  <c r="C244" i="4"/>
  <c r="B244" i="4"/>
  <c r="A244" i="4"/>
  <c r="D243" i="4"/>
  <c r="C243" i="4"/>
  <c r="B243" i="4"/>
  <c r="A243" i="4"/>
  <c r="D242" i="4"/>
  <c r="C242" i="4"/>
  <c r="B242" i="4"/>
  <c r="A242" i="4"/>
  <c r="D241" i="4"/>
  <c r="C241" i="4"/>
  <c r="B241" i="4"/>
  <c r="A241" i="4"/>
  <c r="D240" i="4"/>
  <c r="C240" i="4"/>
  <c r="B240" i="4"/>
  <c r="A240" i="4"/>
  <c r="D239" i="4"/>
  <c r="C239" i="4"/>
  <c r="B239" i="4"/>
  <c r="A239" i="4"/>
  <c r="D238" i="4"/>
  <c r="C238" i="4"/>
  <c r="B238" i="4"/>
  <c r="A238" i="4"/>
  <c r="D237" i="4"/>
  <c r="C237" i="4"/>
  <c r="B237" i="4"/>
  <c r="A237" i="4"/>
  <c r="D236" i="4"/>
  <c r="C236" i="4"/>
  <c r="B236" i="4"/>
  <c r="A236" i="4"/>
  <c r="D235" i="4"/>
  <c r="C235" i="4"/>
  <c r="B235" i="4"/>
  <c r="A235" i="4"/>
  <c r="D234" i="4"/>
  <c r="C234" i="4"/>
  <c r="B234" i="4"/>
  <c r="A234" i="4"/>
  <c r="D233" i="4"/>
  <c r="C233" i="4"/>
  <c r="B233" i="4"/>
  <c r="A233" i="4"/>
  <c r="D232" i="4"/>
  <c r="C232" i="4"/>
  <c r="B232" i="4"/>
  <c r="A232" i="4"/>
  <c r="D231" i="4"/>
  <c r="C231" i="4"/>
  <c r="B231" i="4"/>
  <c r="A231" i="4"/>
  <c r="D230" i="4"/>
  <c r="C230" i="4"/>
  <c r="B230" i="4"/>
  <c r="A230" i="4"/>
  <c r="D229" i="4"/>
  <c r="C229" i="4"/>
  <c r="B229" i="4"/>
  <c r="A229" i="4"/>
  <c r="D228" i="4"/>
  <c r="C228" i="4"/>
  <c r="B228" i="4"/>
  <c r="A228" i="4"/>
  <c r="D227" i="4"/>
  <c r="C227" i="4"/>
  <c r="B227" i="4"/>
  <c r="A227" i="4"/>
  <c r="D226" i="4"/>
  <c r="C226" i="4"/>
  <c r="B226" i="4"/>
  <c r="A226" i="4"/>
  <c r="D225" i="4"/>
  <c r="C225" i="4"/>
  <c r="B225" i="4"/>
  <c r="A225" i="4"/>
  <c r="D224" i="4"/>
  <c r="C224" i="4"/>
  <c r="B224" i="4"/>
  <c r="A224" i="4"/>
  <c r="D223" i="4"/>
  <c r="C223" i="4"/>
  <c r="B223" i="4"/>
  <c r="A223" i="4"/>
  <c r="D222" i="4"/>
  <c r="C222" i="4"/>
  <c r="B222" i="4"/>
  <c r="A222" i="4"/>
  <c r="D221" i="4"/>
  <c r="C221" i="4"/>
  <c r="B221" i="4"/>
  <c r="A221" i="4"/>
  <c r="D220" i="4"/>
  <c r="C220" i="4"/>
  <c r="B220" i="4"/>
  <c r="A220" i="4"/>
  <c r="D219" i="4"/>
  <c r="C219" i="4"/>
  <c r="B219" i="4"/>
  <c r="A219" i="4"/>
  <c r="D218" i="4"/>
  <c r="C218" i="4"/>
  <c r="B218" i="4"/>
  <c r="A218" i="4"/>
  <c r="D217" i="4"/>
  <c r="C217" i="4"/>
  <c r="B217" i="4"/>
  <c r="A217" i="4"/>
  <c r="D216" i="4"/>
  <c r="C216" i="4"/>
  <c r="B216" i="4"/>
  <c r="A216" i="4"/>
  <c r="D215" i="4"/>
  <c r="C215" i="4"/>
  <c r="B215" i="4"/>
  <c r="A215" i="4"/>
  <c r="D214" i="4"/>
  <c r="C214" i="4"/>
  <c r="B214" i="4"/>
  <c r="A214" i="4"/>
  <c r="D213" i="4"/>
  <c r="C213" i="4"/>
  <c r="B213" i="4"/>
  <c r="A213" i="4"/>
  <c r="D212" i="4"/>
  <c r="C212" i="4"/>
  <c r="B212" i="4"/>
  <c r="A212" i="4"/>
  <c r="D211" i="4"/>
  <c r="C211" i="4"/>
  <c r="B211" i="4"/>
  <c r="A211" i="4"/>
  <c r="D210" i="4"/>
  <c r="C210" i="4"/>
  <c r="B210" i="4"/>
  <c r="A210" i="4"/>
  <c r="D209" i="4"/>
  <c r="C209" i="4"/>
  <c r="B209" i="4"/>
  <c r="A209" i="4"/>
  <c r="D208" i="4"/>
  <c r="C208" i="4"/>
  <c r="B208" i="4"/>
  <c r="A208" i="4"/>
  <c r="D207" i="4"/>
  <c r="C207" i="4"/>
  <c r="B207" i="4"/>
  <c r="A207" i="4"/>
  <c r="D206" i="4"/>
  <c r="C206" i="4"/>
  <c r="B206" i="4"/>
  <c r="A206" i="4"/>
  <c r="D205" i="4"/>
  <c r="C205" i="4"/>
  <c r="B205" i="4"/>
  <c r="A205" i="4"/>
  <c r="D204" i="4"/>
  <c r="C204" i="4"/>
  <c r="B204" i="4"/>
  <c r="A204" i="4"/>
  <c r="D203" i="4"/>
  <c r="C203" i="4"/>
  <c r="B203" i="4"/>
  <c r="A203" i="4"/>
  <c r="D202" i="4"/>
  <c r="C202" i="4"/>
  <c r="B202" i="4"/>
  <c r="A202" i="4"/>
  <c r="D201" i="4"/>
  <c r="C201" i="4"/>
  <c r="B201" i="4"/>
  <c r="A201" i="4"/>
  <c r="D200" i="4"/>
  <c r="C200" i="4"/>
  <c r="B200" i="4"/>
  <c r="A200" i="4"/>
  <c r="D199" i="4"/>
  <c r="C199" i="4"/>
  <c r="B199" i="4"/>
  <c r="A199" i="4"/>
  <c r="D198" i="4"/>
  <c r="C198" i="4"/>
  <c r="B198" i="4"/>
  <c r="A198" i="4"/>
  <c r="D197" i="4"/>
  <c r="C197" i="4"/>
  <c r="B197" i="4"/>
  <c r="A197" i="4"/>
  <c r="D196" i="4"/>
  <c r="C196" i="4"/>
  <c r="B196" i="4"/>
  <c r="A196" i="4"/>
  <c r="D195" i="4"/>
  <c r="C195" i="4"/>
  <c r="B195" i="4"/>
  <c r="A195" i="4"/>
  <c r="D194" i="4"/>
  <c r="C194" i="4"/>
  <c r="B194" i="4"/>
  <c r="A194" i="4"/>
  <c r="D193" i="4"/>
  <c r="C193" i="4"/>
  <c r="B193" i="4"/>
  <c r="A193" i="4"/>
  <c r="D192" i="4"/>
  <c r="C192" i="4"/>
  <c r="B192" i="4"/>
  <c r="A192" i="4"/>
  <c r="D191" i="4"/>
  <c r="C191" i="4"/>
  <c r="B191" i="4"/>
  <c r="A191" i="4"/>
  <c r="D190" i="4"/>
  <c r="C190" i="4"/>
  <c r="B190" i="4"/>
  <c r="A190" i="4"/>
  <c r="D189" i="4"/>
  <c r="C189" i="4"/>
  <c r="B189" i="4"/>
  <c r="A189" i="4"/>
  <c r="D188" i="4"/>
  <c r="C188" i="4"/>
  <c r="B188" i="4"/>
  <c r="A188" i="4"/>
  <c r="D187" i="4"/>
  <c r="C187" i="4"/>
  <c r="B187" i="4"/>
  <c r="A187" i="4"/>
  <c r="D186" i="4"/>
  <c r="C186" i="4"/>
  <c r="B186" i="4"/>
  <c r="A186" i="4"/>
  <c r="D185" i="4"/>
  <c r="C185" i="4"/>
  <c r="B185" i="4"/>
  <c r="A185" i="4"/>
  <c r="D184" i="4"/>
  <c r="C184" i="4"/>
  <c r="B184" i="4"/>
  <c r="A184" i="4"/>
  <c r="D183" i="4"/>
  <c r="C183" i="4"/>
  <c r="B183" i="4"/>
  <c r="A183" i="4"/>
  <c r="D182" i="4"/>
  <c r="C182" i="4"/>
  <c r="B182" i="4"/>
  <c r="A182" i="4"/>
  <c r="D181" i="4"/>
  <c r="C181" i="4"/>
  <c r="B181" i="4"/>
  <c r="A181" i="4"/>
  <c r="D180" i="4"/>
  <c r="C180" i="4"/>
  <c r="B180" i="4"/>
  <c r="A180" i="4"/>
  <c r="D179" i="4"/>
  <c r="C179" i="4"/>
  <c r="B179" i="4"/>
  <c r="A179" i="4"/>
  <c r="D178" i="4"/>
  <c r="C178" i="4"/>
  <c r="B178" i="4"/>
  <c r="A178" i="4"/>
  <c r="D177" i="4"/>
  <c r="C177" i="4"/>
  <c r="B177" i="4"/>
  <c r="A177" i="4"/>
  <c r="D176" i="4"/>
  <c r="C176" i="4"/>
  <c r="B176" i="4"/>
  <c r="A176" i="4"/>
  <c r="D175" i="4"/>
  <c r="C175" i="4"/>
  <c r="B175" i="4"/>
  <c r="A175" i="4"/>
  <c r="D174" i="4"/>
  <c r="C174" i="4"/>
  <c r="B174" i="4"/>
  <c r="A174" i="4"/>
  <c r="D173" i="4"/>
  <c r="C173" i="4"/>
  <c r="B173" i="4"/>
  <c r="A173" i="4"/>
  <c r="D172" i="4"/>
  <c r="C172" i="4"/>
  <c r="B172" i="4"/>
  <c r="A172" i="4"/>
  <c r="D171" i="4"/>
  <c r="C171" i="4"/>
  <c r="B171" i="4"/>
  <c r="A171" i="4"/>
  <c r="D170" i="4"/>
  <c r="C170" i="4"/>
  <c r="B170" i="4"/>
  <c r="A170" i="4"/>
  <c r="D169" i="4"/>
  <c r="C169" i="4"/>
  <c r="B169" i="4"/>
  <c r="A169" i="4"/>
  <c r="D168" i="4"/>
  <c r="C168" i="4"/>
  <c r="B168" i="4"/>
  <c r="A168" i="4"/>
  <c r="D167" i="4"/>
  <c r="C167" i="4"/>
  <c r="B167" i="4"/>
  <c r="A167" i="4"/>
  <c r="D166" i="4"/>
  <c r="C166" i="4"/>
  <c r="B166" i="4"/>
  <c r="A166" i="4"/>
  <c r="D165" i="4"/>
  <c r="C165" i="4"/>
  <c r="B165" i="4"/>
  <c r="A165" i="4"/>
  <c r="D164" i="4"/>
  <c r="C164" i="4"/>
  <c r="B164" i="4"/>
  <c r="A164" i="4"/>
  <c r="D163" i="4"/>
  <c r="C163" i="4"/>
  <c r="B163" i="4"/>
  <c r="A163" i="4"/>
  <c r="D162" i="4"/>
  <c r="C162" i="4"/>
  <c r="B162" i="4"/>
  <c r="A162" i="4"/>
  <c r="D161" i="4"/>
  <c r="C161" i="4"/>
  <c r="B161" i="4"/>
  <c r="A161" i="4"/>
  <c r="D160" i="4"/>
  <c r="C160" i="4"/>
  <c r="B160" i="4"/>
  <c r="A160" i="4"/>
  <c r="D159" i="4"/>
  <c r="C159" i="4"/>
  <c r="B159" i="4"/>
  <c r="A159" i="4"/>
  <c r="D158" i="4"/>
  <c r="C158" i="4"/>
  <c r="B158" i="4"/>
  <c r="A158" i="4"/>
  <c r="D157" i="4"/>
  <c r="C157" i="4"/>
  <c r="B157" i="4"/>
  <c r="A157" i="4"/>
  <c r="D156" i="4"/>
  <c r="C156" i="4"/>
  <c r="B156" i="4"/>
  <c r="A156" i="4"/>
  <c r="D155" i="4"/>
  <c r="C155" i="4"/>
  <c r="B155" i="4"/>
  <c r="A155" i="4"/>
  <c r="D154" i="4"/>
  <c r="C154" i="4"/>
  <c r="B154" i="4"/>
  <c r="A154" i="4"/>
  <c r="D153" i="4"/>
  <c r="C153" i="4"/>
  <c r="B153" i="4"/>
  <c r="A153" i="4"/>
  <c r="D152" i="4"/>
  <c r="C152" i="4"/>
  <c r="B152" i="4"/>
  <c r="A152" i="4"/>
  <c r="D151" i="4"/>
  <c r="C151" i="4"/>
  <c r="B151" i="4"/>
  <c r="A151" i="4"/>
  <c r="D150" i="4"/>
  <c r="C150" i="4"/>
  <c r="B150" i="4"/>
  <c r="A150" i="4"/>
  <c r="D149" i="4"/>
  <c r="C149" i="4"/>
  <c r="B149" i="4"/>
  <c r="A149" i="4"/>
  <c r="D148" i="4"/>
  <c r="C148" i="4"/>
  <c r="B148" i="4"/>
  <c r="A148" i="4"/>
  <c r="D147" i="4"/>
  <c r="C147" i="4"/>
  <c r="B147" i="4"/>
  <c r="A147" i="4"/>
  <c r="D146" i="4"/>
  <c r="C146" i="4"/>
  <c r="B146" i="4"/>
  <c r="A146" i="4"/>
  <c r="D145" i="4"/>
  <c r="C145" i="4"/>
  <c r="B145" i="4"/>
  <c r="A145" i="4"/>
  <c r="D144" i="4"/>
  <c r="C144" i="4"/>
  <c r="B144" i="4"/>
  <c r="A144" i="4"/>
  <c r="D143" i="4"/>
  <c r="C143" i="4"/>
  <c r="B143" i="4"/>
  <c r="A143" i="4"/>
  <c r="D142" i="4"/>
  <c r="C142" i="4"/>
  <c r="B142" i="4"/>
  <c r="A142" i="4"/>
  <c r="D141" i="4"/>
  <c r="C141" i="4"/>
  <c r="B141" i="4"/>
  <c r="A141" i="4"/>
  <c r="D140" i="4"/>
  <c r="C140" i="4"/>
  <c r="B140" i="4"/>
  <c r="A140" i="4"/>
  <c r="D139" i="4"/>
  <c r="C139" i="4"/>
  <c r="B139" i="4"/>
  <c r="A139" i="4"/>
  <c r="D138" i="4"/>
  <c r="C138" i="4"/>
  <c r="B138" i="4"/>
  <c r="A138" i="4"/>
  <c r="D137" i="4"/>
  <c r="C137" i="4"/>
  <c r="B137" i="4"/>
  <c r="A137" i="4"/>
  <c r="D136" i="4"/>
  <c r="C136" i="4"/>
  <c r="B136" i="4"/>
  <c r="A136" i="4"/>
  <c r="D135" i="4"/>
  <c r="C135" i="4"/>
  <c r="B135" i="4"/>
  <c r="A135" i="4"/>
  <c r="D134" i="4"/>
  <c r="C134" i="4"/>
  <c r="B134" i="4"/>
  <c r="A134" i="4"/>
  <c r="D133" i="4"/>
  <c r="C133" i="4"/>
  <c r="B133" i="4"/>
  <c r="A133" i="4"/>
  <c r="D132" i="4"/>
  <c r="C132" i="4"/>
  <c r="B132" i="4"/>
  <c r="A132" i="4"/>
  <c r="D131" i="4"/>
  <c r="C131" i="4"/>
  <c r="B131" i="4"/>
  <c r="A131" i="4"/>
  <c r="D130" i="4"/>
  <c r="C130" i="4"/>
  <c r="B130" i="4"/>
  <c r="A130" i="4"/>
  <c r="D129" i="4"/>
  <c r="C129" i="4"/>
  <c r="B129" i="4"/>
  <c r="A129" i="4"/>
  <c r="D128" i="4"/>
  <c r="C128" i="4"/>
  <c r="B128" i="4"/>
  <c r="A128" i="4"/>
  <c r="D127" i="4"/>
  <c r="C127" i="4"/>
  <c r="B127" i="4"/>
  <c r="A127" i="4"/>
  <c r="D126" i="4"/>
  <c r="C126" i="4"/>
  <c r="B126" i="4"/>
  <c r="A126" i="4"/>
  <c r="D125" i="4"/>
  <c r="C125" i="4"/>
  <c r="B125" i="4"/>
  <c r="A125" i="4"/>
  <c r="D124" i="4"/>
  <c r="C124" i="4"/>
  <c r="B124" i="4"/>
  <c r="A124" i="4"/>
  <c r="D123" i="4"/>
  <c r="C123" i="4"/>
  <c r="B123" i="4"/>
  <c r="A123" i="4"/>
  <c r="D122" i="4"/>
  <c r="C122" i="4"/>
  <c r="B122" i="4"/>
  <c r="A122" i="4"/>
  <c r="D121" i="4"/>
  <c r="C121" i="4"/>
  <c r="B121" i="4"/>
  <c r="A121" i="4"/>
  <c r="D120" i="4"/>
  <c r="C120" i="4"/>
  <c r="B120" i="4"/>
  <c r="A120" i="4"/>
  <c r="D119" i="4"/>
  <c r="C119" i="4"/>
  <c r="B119" i="4"/>
  <c r="A119" i="4"/>
  <c r="D118" i="4"/>
  <c r="C118" i="4"/>
  <c r="B118" i="4"/>
  <c r="A118" i="4"/>
  <c r="D117" i="4"/>
  <c r="C117" i="4"/>
  <c r="B117" i="4"/>
  <c r="A117" i="4"/>
  <c r="D116" i="4"/>
  <c r="C116" i="4"/>
  <c r="B116" i="4"/>
  <c r="A116" i="4"/>
  <c r="D115" i="4"/>
  <c r="C115" i="4"/>
  <c r="B115" i="4"/>
  <c r="A115" i="4"/>
  <c r="D114" i="4"/>
  <c r="C114" i="4"/>
  <c r="B114" i="4"/>
  <c r="A114" i="4"/>
  <c r="D113" i="4"/>
  <c r="C113" i="4"/>
  <c r="B113" i="4"/>
  <c r="A113" i="4"/>
  <c r="D112" i="4"/>
  <c r="C112" i="4"/>
  <c r="B112" i="4"/>
  <c r="A112" i="4"/>
  <c r="D111" i="4"/>
  <c r="C111" i="4"/>
  <c r="B111" i="4"/>
  <c r="A111" i="4"/>
  <c r="D110" i="4"/>
  <c r="C110" i="4"/>
  <c r="B110" i="4"/>
  <c r="A110" i="4"/>
  <c r="D109" i="4"/>
  <c r="C109" i="4"/>
  <c r="B109" i="4"/>
  <c r="A109" i="4"/>
  <c r="D108" i="4"/>
  <c r="C108" i="4"/>
  <c r="B108" i="4"/>
  <c r="A108" i="4"/>
  <c r="D107" i="4"/>
  <c r="C107" i="4"/>
  <c r="B107" i="4"/>
  <c r="A107" i="4"/>
  <c r="D106" i="4"/>
  <c r="C106" i="4"/>
  <c r="B106" i="4"/>
  <c r="A106" i="4"/>
  <c r="D105" i="4"/>
  <c r="C105" i="4"/>
  <c r="B105" i="4"/>
  <c r="A105" i="4"/>
  <c r="D104" i="4"/>
  <c r="C104" i="4"/>
  <c r="B104" i="4"/>
  <c r="A104" i="4"/>
  <c r="D103" i="4"/>
  <c r="C103" i="4"/>
  <c r="B103" i="4"/>
  <c r="A103" i="4"/>
  <c r="D102" i="4"/>
  <c r="C102" i="4"/>
  <c r="B102" i="4"/>
  <c r="A102" i="4"/>
  <c r="D101" i="4"/>
  <c r="C101" i="4"/>
  <c r="B101" i="4"/>
  <c r="A101" i="4"/>
  <c r="D100" i="4"/>
  <c r="C100" i="4"/>
  <c r="B100" i="4"/>
  <c r="A100" i="4"/>
  <c r="D99" i="4"/>
  <c r="C99" i="4"/>
  <c r="B99" i="4"/>
  <c r="A99" i="4"/>
  <c r="D98" i="4"/>
  <c r="C98" i="4"/>
  <c r="B98" i="4"/>
  <c r="A98" i="4"/>
  <c r="D97" i="4"/>
  <c r="C97" i="4"/>
  <c r="B97" i="4"/>
  <c r="A97" i="4"/>
  <c r="D96" i="4"/>
  <c r="C96" i="4"/>
  <c r="B96" i="4"/>
  <c r="A96" i="4"/>
  <c r="D95" i="4"/>
  <c r="C95" i="4"/>
  <c r="B95" i="4"/>
  <c r="A95" i="4"/>
  <c r="D94" i="4"/>
  <c r="C94" i="4"/>
  <c r="B94" i="4"/>
  <c r="A94" i="4"/>
  <c r="D93" i="4"/>
  <c r="C93" i="4"/>
  <c r="B93" i="4"/>
  <c r="A93" i="4"/>
  <c r="D92" i="4"/>
  <c r="C92" i="4"/>
  <c r="B92" i="4"/>
  <c r="A92" i="4"/>
  <c r="D91" i="4"/>
  <c r="C91" i="4"/>
  <c r="B91" i="4"/>
  <c r="A91" i="4"/>
  <c r="D90" i="4"/>
  <c r="C90" i="4"/>
  <c r="B90" i="4"/>
  <c r="A90" i="4"/>
  <c r="D89" i="4"/>
  <c r="C89" i="4"/>
  <c r="B89" i="4"/>
  <c r="A89" i="4"/>
  <c r="D88" i="4"/>
  <c r="C88" i="4"/>
  <c r="B88" i="4"/>
  <c r="A88" i="4"/>
  <c r="D87" i="4"/>
  <c r="C87" i="4"/>
  <c r="B87" i="4"/>
  <c r="A87" i="4"/>
  <c r="D86" i="4"/>
  <c r="C86" i="4"/>
  <c r="B86" i="4"/>
  <c r="A86" i="4"/>
  <c r="D85" i="4"/>
  <c r="C85" i="4"/>
  <c r="B85" i="4"/>
  <c r="A85" i="4"/>
  <c r="D84" i="4"/>
  <c r="C84" i="4"/>
  <c r="B84" i="4"/>
  <c r="A84" i="4"/>
  <c r="D83" i="4"/>
  <c r="C83" i="4"/>
  <c r="B83" i="4"/>
  <c r="A83" i="4"/>
  <c r="D82" i="4"/>
  <c r="C82" i="4"/>
  <c r="B82" i="4"/>
  <c r="A82" i="4"/>
  <c r="D81" i="4"/>
  <c r="C81" i="4"/>
  <c r="B81" i="4"/>
  <c r="A81" i="4"/>
  <c r="D80" i="4"/>
  <c r="C80" i="4"/>
  <c r="B80" i="4"/>
  <c r="A80" i="4"/>
  <c r="D79" i="4"/>
  <c r="C79" i="4"/>
  <c r="B79" i="4"/>
  <c r="A79" i="4"/>
  <c r="D78" i="4"/>
  <c r="C78" i="4"/>
  <c r="B78" i="4"/>
  <c r="A78" i="4"/>
  <c r="D77" i="4"/>
  <c r="C77" i="4"/>
  <c r="B77" i="4"/>
  <c r="A77" i="4"/>
  <c r="D76" i="4"/>
  <c r="C76" i="4"/>
  <c r="B76" i="4"/>
  <c r="A76" i="4"/>
  <c r="D75" i="4"/>
  <c r="C75" i="4"/>
  <c r="B75" i="4"/>
  <c r="A75" i="4"/>
  <c r="D74" i="4"/>
  <c r="C74" i="4"/>
  <c r="B74" i="4"/>
  <c r="A74" i="4"/>
  <c r="D73" i="4"/>
  <c r="C73" i="4"/>
  <c r="B73" i="4"/>
  <c r="A73" i="4"/>
  <c r="D72" i="4"/>
  <c r="C72" i="4"/>
  <c r="B72" i="4"/>
  <c r="A72" i="4"/>
  <c r="D71" i="4"/>
  <c r="C71" i="4"/>
  <c r="B71" i="4"/>
  <c r="A71" i="4"/>
  <c r="D70" i="4"/>
  <c r="C70" i="4"/>
  <c r="B70" i="4"/>
  <c r="A70" i="4"/>
  <c r="D69" i="4"/>
  <c r="C69" i="4"/>
  <c r="B69" i="4"/>
  <c r="A69" i="4"/>
  <c r="D68" i="4"/>
  <c r="C68" i="4"/>
  <c r="B68" i="4"/>
  <c r="A68" i="4"/>
  <c r="D67" i="4"/>
  <c r="C67" i="4"/>
  <c r="B67" i="4"/>
  <c r="A67" i="4"/>
  <c r="D66" i="4"/>
  <c r="C66" i="4"/>
  <c r="B66" i="4"/>
  <c r="A66" i="4"/>
  <c r="D65" i="4"/>
  <c r="C65" i="4"/>
  <c r="B65" i="4"/>
  <c r="A65" i="4"/>
  <c r="D64" i="4"/>
  <c r="C64" i="4"/>
  <c r="B64" i="4"/>
  <c r="A64" i="4"/>
  <c r="D63" i="4"/>
  <c r="C63" i="4"/>
  <c r="B63" i="4"/>
  <c r="A63" i="4"/>
  <c r="D62" i="4"/>
  <c r="C62" i="4"/>
  <c r="B62" i="4"/>
  <c r="A62" i="4"/>
  <c r="D61" i="4"/>
  <c r="C61" i="4"/>
  <c r="B61" i="4"/>
  <c r="A61" i="4"/>
  <c r="D60" i="4"/>
  <c r="C60" i="4"/>
  <c r="B60" i="4"/>
  <c r="A60" i="4"/>
  <c r="D59" i="4"/>
  <c r="C59" i="4"/>
  <c r="B59" i="4"/>
  <c r="A59" i="4"/>
  <c r="D58" i="4"/>
  <c r="C58" i="4"/>
  <c r="B58" i="4"/>
  <c r="A58" i="4"/>
  <c r="D57" i="4"/>
  <c r="C57" i="4"/>
  <c r="B57" i="4"/>
  <c r="A57" i="4"/>
  <c r="D56" i="4"/>
  <c r="C56" i="4"/>
  <c r="B56" i="4"/>
  <c r="A56" i="4"/>
  <c r="D55" i="4"/>
  <c r="C55" i="4"/>
  <c r="B55" i="4"/>
  <c r="A55" i="4"/>
  <c r="D54" i="4"/>
  <c r="C54" i="4"/>
  <c r="B54" i="4"/>
  <c r="A54" i="4"/>
  <c r="D53" i="4"/>
  <c r="C53" i="4"/>
  <c r="B53" i="4"/>
  <c r="A53" i="4"/>
  <c r="D52" i="4"/>
  <c r="C52" i="4"/>
  <c r="B52" i="4"/>
  <c r="A52" i="4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C48" i="4"/>
  <c r="B48" i="4"/>
  <c r="A48" i="4"/>
  <c r="D47" i="4"/>
  <c r="C47" i="4"/>
  <c r="B47" i="4"/>
  <c r="A47" i="4"/>
  <c r="D46" i="4"/>
  <c r="C46" i="4"/>
  <c r="B46" i="4"/>
  <c r="A46" i="4"/>
  <c r="D45" i="4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D972" i="4" s="1"/>
  <c r="C5" i="4"/>
  <c r="B5" i="4"/>
  <c r="A5" i="4"/>
  <c r="D4" i="4"/>
  <c r="C4" i="4"/>
  <c r="B4" i="4"/>
  <c r="A4" i="4"/>
  <c r="D3" i="4"/>
  <c r="C3" i="4"/>
  <c r="B3" i="4"/>
  <c r="A3" i="4"/>
  <c r="D2" i="4"/>
  <c r="C2" i="4"/>
  <c r="B2" i="4"/>
  <c r="B972" i="4" s="1"/>
  <c r="A2" i="4"/>
  <c r="C972" i="4"/>
  <c r="AU7" i="5" l="1"/>
  <c r="AU12" i="5"/>
  <c r="AU8" i="5"/>
  <c r="AA15" i="5"/>
  <c r="AU3" i="5"/>
  <c r="AU14" i="5"/>
  <c r="AU10" i="5"/>
  <c r="AK3" i="5"/>
  <c r="AU5" i="5"/>
  <c r="AA12" i="5"/>
  <c r="AK14" i="5"/>
  <c r="AU16" i="5"/>
  <c r="Q12" i="5"/>
  <c r="AA14" i="5"/>
  <c r="AT13" i="5"/>
  <c r="AA5" i="5"/>
  <c r="AK7" i="5"/>
  <c r="AU9" i="5"/>
  <c r="AU4" i="5"/>
  <c r="AJ13" i="5"/>
  <c r="AU15" i="5"/>
  <c r="AA7" i="5"/>
  <c r="AK9" i="5"/>
  <c r="AU11" i="5"/>
  <c r="AU6" i="5"/>
  <c r="AS3" i="5"/>
  <c r="AS5" i="5"/>
  <c r="AS7" i="5"/>
  <c r="AS9" i="5"/>
  <c r="AS11" i="5"/>
  <c r="AS13" i="5"/>
  <c r="AS15" i="5"/>
  <c r="AT3" i="5"/>
  <c r="AT5" i="5"/>
  <c r="AT7" i="5"/>
  <c r="AT9" i="5"/>
  <c r="AT11" i="5"/>
  <c r="AT15" i="5"/>
  <c r="AU13" i="5"/>
  <c r="AA8" i="5"/>
  <c r="AK10" i="5"/>
  <c r="AS4" i="5"/>
  <c r="AS6" i="5"/>
  <c r="AS8" i="5"/>
  <c r="AS10" i="5"/>
  <c r="AS12" i="5"/>
  <c r="AS14" i="5"/>
  <c r="AS16" i="5"/>
  <c r="AA3" i="5"/>
  <c r="AK5" i="5"/>
  <c r="AT4" i="5"/>
  <c r="AT6" i="5"/>
  <c r="AT8" i="5"/>
  <c r="AT10" i="5"/>
  <c r="AT12" i="5"/>
  <c r="AT14" i="5"/>
  <c r="AT16" i="5"/>
  <c r="AA9" i="5"/>
  <c r="AK11" i="5"/>
  <c r="AA4" i="5"/>
  <c r="AI11" i="5"/>
  <c r="AK13" i="5"/>
  <c r="AI14" i="5"/>
  <c r="AJ4" i="5"/>
  <c r="AL4" i="5" s="1"/>
  <c r="AJ6" i="5"/>
  <c r="AJ8" i="5"/>
  <c r="AJ10" i="5"/>
  <c r="AJ12" i="5"/>
  <c r="AJ14" i="5"/>
  <c r="AJ16" i="5"/>
  <c r="AJ5" i="5"/>
  <c r="AI10" i="5"/>
  <c r="AA16" i="5"/>
  <c r="AK4" i="5"/>
  <c r="AK6" i="5"/>
  <c r="AK8" i="5"/>
  <c r="AK12" i="5"/>
  <c r="AK16" i="5"/>
  <c r="AI13" i="5"/>
  <c r="Q9" i="5"/>
  <c r="AA11" i="5"/>
  <c r="AI3" i="5"/>
  <c r="AI5" i="5"/>
  <c r="AI7" i="5"/>
  <c r="AI9" i="5"/>
  <c r="AI15" i="5"/>
  <c r="AJ3" i="5"/>
  <c r="AJ7" i="5"/>
  <c r="AJ9" i="5"/>
  <c r="AJ11" i="5"/>
  <c r="AJ15" i="5"/>
  <c r="AA6" i="5"/>
  <c r="Y3" i="5"/>
  <c r="Y5" i="5"/>
  <c r="Y7" i="5"/>
  <c r="Y9" i="5"/>
  <c r="Y11" i="5"/>
  <c r="Y13" i="5"/>
  <c r="Y15" i="5"/>
  <c r="Z3" i="5"/>
  <c r="Z5" i="5"/>
  <c r="Z7" i="5"/>
  <c r="Z9" i="5"/>
  <c r="Z11" i="5"/>
  <c r="Z13" i="5"/>
  <c r="Z15" i="5"/>
  <c r="Q3" i="5"/>
  <c r="Q14" i="5"/>
  <c r="Y4" i="5"/>
  <c r="Y6" i="5"/>
  <c r="Y8" i="5"/>
  <c r="Y10" i="5"/>
  <c r="Y12" i="5"/>
  <c r="Y14" i="5"/>
  <c r="Y16" i="5"/>
  <c r="Z4" i="5"/>
  <c r="Z6" i="5"/>
  <c r="Z8" i="5"/>
  <c r="Z10" i="5"/>
  <c r="Z12" i="5"/>
  <c r="Z14" i="5"/>
  <c r="Z16" i="5"/>
  <c r="P13" i="5"/>
  <c r="P11" i="5"/>
  <c r="Q4" i="5"/>
  <c r="Q15" i="5"/>
  <c r="Q10" i="5"/>
  <c r="Q16" i="5"/>
  <c r="Q5" i="5"/>
  <c r="P7" i="5"/>
  <c r="Q6" i="5"/>
  <c r="O5" i="5"/>
  <c r="Q11" i="5"/>
  <c r="O11" i="5"/>
  <c r="Q13" i="5"/>
  <c r="O4" i="5"/>
  <c r="O6" i="5"/>
  <c r="O8" i="5"/>
  <c r="O10" i="5"/>
  <c r="O12" i="5"/>
  <c r="O14" i="5"/>
  <c r="O16" i="5"/>
  <c r="O13" i="5"/>
  <c r="Q7" i="5"/>
  <c r="P4" i="5"/>
  <c r="P6" i="5"/>
  <c r="P8" i="5"/>
  <c r="P10" i="5"/>
  <c r="P12" i="5"/>
  <c r="P14" i="5"/>
  <c r="P16" i="5"/>
  <c r="O3" i="5"/>
  <c r="O7" i="5"/>
  <c r="O15" i="5"/>
  <c r="P3" i="5"/>
  <c r="P5" i="5"/>
  <c r="P9" i="5"/>
  <c r="P15" i="5"/>
  <c r="O9" i="5"/>
  <c r="F11" i="5"/>
  <c r="G10" i="5"/>
  <c r="F10" i="5"/>
  <c r="G15" i="5"/>
  <c r="F15" i="5"/>
  <c r="F14" i="5"/>
  <c r="G11" i="5"/>
  <c r="G14" i="5"/>
  <c r="G7" i="5"/>
  <c r="E14" i="5"/>
  <c r="G9" i="5"/>
  <c r="F9" i="5"/>
  <c r="G13" i="5"/>
  <c r="F5" i="5"/>
  <c r="F7" i="5"/>
  <c r="G6" i="5"/>
  <c r="F13" i="5"/>
  <c r="E13" i="5"/>
  <c r="E5" i="5"/>
  <c r="F6" i="5"/>
  <c r="G5" i="5"/>
  <c r="G16" i="5"/>
  <c r="G12" i="5"/>
  <c r="G8" i="5"/>
  <c r="G4" i="5"/>
  <c r="F16" i="5"/>
  <c r="F12" i="5"/>
  <c r="F8" i="5"/>
  <c r="F4" i="5"/>
  <c r="G3" i="5"/>
  <c r="F3" i="5"/>
  <c r="AL13" i="5" l="1"/>
  <c r="AL10" i="5"/>
  <c r="AL15" i="5"/>
  <c r="H10" i="5"/>
  <c r="AL8" i="5"/>
  <c r="AL6" i="5"/>
  <c r="AL11" i="5"/>
  <c r="AL16" i="5"/>
  <c r="AL9" i="5"/>
  <c r="AL12" i="5"/>
  <c r="AV16" i="5"/>
  <c r="AV14" i="5"/>
  <c r="AV12" i="5"/>
  <c r="AV9" i="5"/>
  <c r="AV7" i="5"/>
  <c r="AV6" i="5"/>
  <c r="AV5" i="5"/>
  <c r="AV15" i="5"/>
  <c r="AV13" i="5"/>
  <c r="AV11" i="5"/>
  <c r="AV10" i="5"/>
  <c r="AV8" i="5"/>
  <c r="AV4" i="5"/>
  <c r="AV3" i="5"/>
  <c r="AW3" i="5" s="1"/>
  <c r="AL7" i="5"/>
  <c r="AL5" i="5"/>
  <c r="AL14" i="5"/>
  <c r="AL3" i="5"/>
  <c r="AM3" i="5" s="1"/>
  <c r="AM4" i="5" s="1"/>
  <c r="H12" i="5"/>
  <c r="AB13" i="5"/>
  <c r="AB7" i="5"/>
  <c r="AB15" i="5"/>
  <c r="AB14" i="5"/>
  <c r="AB12" i="5"/>
  <c r="AB9" i="5"/>
  <c r="AB8" i="5"/>
  <c r="AB6" i="5"/>
  <c r="AB5" i="5"/>
  <c r="AB16" i="5"/>
  <c r="AB11" i="5"/>
  <c r="AB10" i="5"/>
  <c r="AB4" i="5"/>
  <c r="AB3" i="5"/>
  <c r="AC3" i="5" s="1"/>
  <c r="R11" i="5"/>
  <c r="H8" i="5"/>
  <c r="R10" i="5"/>
  <c r="R12" i="5"/>
  <c r="R14" i="5"/>
  <c r="R16" i="5"/>
  <c r="R9" i="5"/>
  <c r="R13" i="5"/>
  <c r="H11" i="5"/>
  <c r="R8" i="5"/>
  <c r="R4" i="5"/>
  <c r="H9" i="5"/>
  <c r="R15" i="5"/>
  <c r="R3" i="5"/>
  <c r="S3" i="5" s="1"/>
  <c r="R6" i="5"/>
  <c r="R7" i="5"/>
  <c r="H15" i="5"/>
  <c r="R5" i="5"/>
  <c r="H7" i="5"/>
  <c r="H4" i="5"/>
  <c r="H14" i="5"/>
  <c r="H13" i="5"/>
  <c r="H16" i="5"/>
  <c r="H6" i="5"/>
  <c r="H5" i="5"/>
  <c r="H3" i="5"/>
  <c r="I3" i="5" s="1"/>
  <c r="AW4" i="5" l="1"/>
  <c r="AW5" i="5" s="1"/>
  <c r="AW6" i="5" s="1"/>
  <c r="AW7" i="5" s="1"/>
  <c r="AW8" i="5" s="1"/>
  <c r="AW9" i="5" s="1"/>
  <c r="AW10" i="5" s="1"/>
  <c r="AW11" i="5" s="1"/>
  <c r="AW12" i="5" s="1"/>
  <c r="AW13" i="5" s="1"/>
  <c r="AW14" i="5" s="1"/>
  <c r="AW15" i="5" s="1"/>
  <c r="AW16" i="5" s="1"/>
  <c r="AM5" i="5"/>
  <c r="AM6" i="5" s="1"/>
  <c r="AM7" i="5" s="1"/>
  <c r="AM8" i="5" s="1"/>
  <c r="AM9" i="5" s="1"/>
  <c r="AM10" i="5" s="1"/>
  <c r="AM11" i="5" s="1"/>
  <c r="AM12" i="5" s="1"/>
  <c r="AM13" i="5" s="1"/>
  <c r="AM14" i="5" s="1"/>
  <c r="AM15" i="5" s="1"/>
  <c r="AM16" i="5" s="1"/>
  <c r="AC4" i="5"/>
  <c r="AC5" i="5"/>
  <c r="AC6" i="5" s="1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S4" i="5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I4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</calcChain>
</file>

<file path=xl/sharedStrings.xml><?xml version="1.0" encoding="utf-8"?>
<sst xmlns="http://schemas.openxmlformats.org/spreadsheetml/2006/main" count="1046" uniqueCount="997">
  <si>
    <t>Date</t>
  </si>
  <si>
    <t>AAPL</t>
  </si>
  <si>
    <t>MSFT</t>
  </si>
  <si>
    <t>NVDA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</si>
  <si>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</si>
  <si>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</si>
  <si>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</si>
  <si>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</si>
  <si>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</si>
  <si>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</si>
  <si>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</si>
  <si>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</si>
  <si>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</si>
  <si>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</si>
  <si>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</si>
  <si>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</si>
  <si>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</si>
  <si>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</si>
  <si>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</si>
  <si>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</si>
  <si>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</si>
  <si>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</si>
  <si>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</si>
  <si>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</si>
  <si>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</si>
  <si>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</si>
  <si>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</si>
  <si>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</si>
  <si>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</si>
  <si>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</si>
  <si>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</si>
  <si>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</si>
  <si>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</si>
  <si>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</si>
  <si>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</si>
  <si>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</si>
  <si>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</si>
  <si>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</si>
  <si>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</si>
  <si>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</si>
  <si>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</si>
  <si>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</si>
  <si>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</si>
  <si>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</si>
  <si>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</si>
  <si>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</si>
  <si>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</si>
  <si>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</si>
  <si>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</si>
  <si>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</si>
  <si>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</si>
  <si>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</si>
  <si>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</si>
  <si>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</si>
  <si>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</si>
  <si>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</si>
  <si>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</si>
  <si>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</si>
  <si>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</si>
  <si>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</si>
  <si>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</si>
  <si>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</si>
  <si>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</si>
  <si>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</si>
  <si>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</si>
  <si>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</si>
  <si>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</si>
  <si>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</si>
  <si>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</si>
  <si>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</si>
  <si>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</si>
  <si>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</si>
  <si>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</si>
  <si>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</si>
  <si>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</si>
  <si>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</si>
  <si>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</si>
  <si>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</si>
  <si>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</si>
  <si>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</si>
  <si>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</si>
  <si>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</si>
  <si>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</si>
  <si>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</si>
  <si>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</si>
  <si>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</si>
  <si>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</si>
  <si>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</si>
  <si>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</si>
  <si>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</si>
  <si>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</si>
  <si>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</si>
  <si>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</si>
  <si>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</si>
  <si>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</si>
  <si>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</si>
  <si>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</si>
  <si>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</si>
  <si>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</si>
  <si>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</si>
  <si>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</si>
  <si>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</si>
  <si>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</si>
  <si>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</si>
  <si>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</si>
  <si>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</si>
  <si>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</si>
  <si>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</si>
  <si>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</si>
  <si>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</si>
  <si>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</si>
  <si>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</si>
  <si>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</si>
  <si>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</si>
  <si>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</si>
  <si>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</si>
  <si>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</si>
  <si>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</si>
  <si>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</si>
  <si>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</si>
  <si>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</si>
  <si>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</si>
  <si>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</si>
  <si>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</si>
  <si>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</si>
  <si>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</si>
  <si>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</si>
  <si>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</si>
  <si>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</si>
  <si>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</si>
  <si>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</si>
  <si>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</si>
  <si>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</si>
  <si>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</si>
  <si>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</si>
  <si>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</si>
  <si>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</si>
  <si>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</si>
  <si>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</si>
  <si>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</si>
  <si>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</si>
  <si>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</si>
  <si>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</si>
  <si>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</si>
  <si>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</si>
  <si>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</si>
  <si>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</si>
  <si>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</si>
  <si>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</si>
  <si>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</si>
  <si>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</si>
  <si>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</si>
  <si>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</si>
  <si>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</si>
  <si>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</si>
  <si>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</si>
  <si>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</si>
  <si>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</si>
  <si>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</si>
  <si>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</si>
  <si>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</si>
  <si>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</si>
  <si>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</si>
  <si>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</si>
  <si>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</si>
  <si>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</si>
  <si>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</si>
  <si>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</si>
  <si>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</si>
  <si>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</si>
  <si>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</si>
  <si>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</si>
  <si>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</si>
  <si>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</si>
  <si>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</si>
  <si>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</si>
  <si>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</si>
  <si>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</si>
  <si>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</si>
  <si>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</si>
  <si>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</si>
  <si>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</si>
  <si>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</si>
  <si>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</si>
  <si>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</si>
  <si>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</si>
  <si>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</si>
  <si>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</si>
  <si>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</si>
  <si>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</si>
  <si>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</si>
  <si>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</si>
  <si>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</si>
  <si>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</si>
  <si>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</si>
  <si>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</si>
  <si>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</si>
  <si>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</si>
  <si>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</si>
  <si>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</si>
  <si>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</si>
  <si>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</si>
  <si>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</si>
  <si>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</si>
  <si>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</si>
  <si>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</si>
  <si>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</si>
  <si>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</si>
  <si>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</si>
  <si>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</si>
  <si>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</si>
  <si>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</si>
  <si>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</si>
  <si>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</si>
  <si>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</si>
  <si>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</si>
  <si>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</si>
  <si>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</si>
  <si>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</si>
  <si>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</si>
  <si>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</si>
  <si>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</si>
  <si>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</si>
  <si>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</si>
  <si>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</si>
  <si>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</si>
  <si>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</si>
  <si>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</si>
  <si>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</si>
  <si>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</si>
  <si>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</si>
  <si>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</si>
  <si>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</si>
  <si>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</si>
  <si>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</si>
  <si>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</si>
  <si>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</si>
  <si>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</si>
  <si>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</si>
  <si>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</si>
  <si>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</si>
  <si>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</si>
  <si>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</si>
  <si>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</si>
  <si>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</si>
  <si>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</si>
  <si>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</si>
  <si>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</si>
  <si>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</si>
  <si>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</si>
  <si>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</si>
  <si>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</si>
  <si>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</si>
  <si>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</si>
  <si>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</si>
  <si>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</si>
  <si>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</si>
  <si>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</si>
  <si>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</si>
  <si>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</si>
  <si>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</si>
  <si>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</si>
  <si>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</si>
  <si>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</si>
  <si>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</si>
  <si>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</si>
  <si>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</si>
  <si>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</si>
  <si>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</si>
  <si>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</si>
  <si>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</si>
  <si>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</si>
  <si>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</si>
  <si>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</si>
  <si>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</si>
  <si>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</si>
  <si>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</si>
  <si>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</si>
  <si>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</si>
  <si>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</si>
  <si>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</si>
  <si>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</si>
  <si>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</si>
  <si>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</si>
  <si>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</si>
  <si>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</si>
  <si>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</si>
  <si>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</si>
  <si>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</si>
  <si>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</si>
  <si>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</si>
  <si>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</si>
  <si>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</si>
  <si>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</si>
  <si>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</si>
  <si>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</si>
  <si>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</si>
  <si>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</si>
  <si>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</si>
  <si>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</si>
  <si>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</si>
  <si>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</si>
  <si>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</si>
  <si>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</si>
  <si>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</si>
  <si>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</si>
  <si>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</si>
  <si>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</si>
  <si>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</si>
  <si>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</si>
  <si>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</si>
  <si>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</si>
  <si>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</si>
  <si>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</si>
  <si>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</si>
  <si>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</si>
  <si>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</si>
  <si>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</si>
  <si>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</si>
  <si>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</si>
  <si>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</si>
  <si>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</si>
  <si>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</si>
  <si>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</si>
  <si>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</si>
  <si>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</si>
  <si>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</si>
  <si>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</si>
  <si>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</si>
  <si>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</si>
  <si>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</si>
  <si>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</si>
  <si>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</si>
  <si>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</si>
  <si>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</si>
  <si>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</si>
  <si>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</si>
  <si>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</si>
  <si>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</si>
  <si>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</si>
  <si>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</si>
  <si>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</si>
  <si>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</si>
  <si>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</si>
  <si>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</si>
  <si>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</si>
  <si>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</si>
  <si>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</si>
  <si>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</si>
  <si>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</si>
  <si>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</si>
  <si>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</si>
  <si>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</si>
  <si>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</si>
  <si>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</si>
  <si>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</si>
  <si>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</si>
  <si>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</si>
  <si>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</si>
  <si>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</si>
  <si>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</si>
  <si>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</si>
  <si>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</si>
  <si>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</si>
  <si>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</si>
  <si>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</si>
  <si>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</si>
  <si>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</si>
  <si>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</si>
  <si>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</si>
  <si>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</si>
  <si>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</si>
  <si>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</si>
  <si>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</si>
  <si>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</si>
  <si>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</si>
  <si>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</si>
  <si>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</si>
  <si>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</si>
  <si>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</si>
  <si>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</si>
  <si>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</si>
  <si>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</si>
  <si>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</si>
  <si>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</si>
  <si>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</si>
  <si>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</si>
  <si>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</si>
  <si>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</si>
  <si>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</si>
  <si>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</si>
  <si>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</si>
  <si>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</si>
  <si>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</si>
  <si>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</si>
  <si>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</si>
  <si>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</si>
  <si>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</si>
  <si>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</si>
  <si>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</si>
  <si>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</si>
  <si>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</si>
  <si>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</si>
  <si>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</si>
  <si>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</si>
  <si>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</si>
  <si>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</si>
  <si>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</si>
  <si>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</si>
  <si>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</si>
  <si>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</si>
  <si>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</si>
  <si>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</si>
  <si>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</si>
  <si>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</si>
  <si>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</si>
  <si>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</si>
  <si>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</si>
  <si>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</si>
  <si>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</si>
  <si>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</si>
  <si>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</si>
  <si>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</si>
  <si>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</si>
  <si>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</si>
  <si>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</si>
  <si>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</si>
  <si>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</si>
  <si>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</si>
  <si>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</si>
  <si>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</si>
  <si>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</si>
  <si>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</si>
  <si>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</si>
  <si>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</si>
  <si>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</si>
  <si>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</si>
  <si>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</si>
  <si>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</si>
  <si>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</si>
  <si>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</si>
  <si>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</si>
  <si>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</si>
  <si>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</si>
  <si>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</si>
  <si>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</si>
  <si>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</si>
  <si>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</si>
  <si>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</si>
  <si>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</si>
  <si>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</si>
  <si>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</si>
  <si>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</si>
  <si>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</si>
  <si>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</si>
  <si>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</si>
  <si>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</si>
  <si>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</si>
  <si>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</si>
  <si>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</si>
  <si>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</si>
  <si>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</si>
  <si>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</si>
  <si>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</si>
  <si>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</si>
  <si>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</si>
  <si>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</si>
  <si>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</si>
  <si>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</si>
  <si>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</si>
  <si>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</si>
  <si>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</si>
  <si>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</si>
  <si>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</si>
  <si>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</si>
  <si>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</si>
  <si>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</si>
  <si>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</si>
  <si>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</si>
  <si>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</si>
  <si>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</si>
  <si>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</si>
  <si>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</si>
  <si>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</si>
  <si>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</si>
  <si>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</si>
  <si>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</si>
  <si>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</si>
  <si>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</si>
  <si>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</si>
  <si>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</si>
  <si>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</si>
  <si>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</si>
  <si>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</si>
  <si>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</si>
  <si>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</si>
  <si>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</si>
  <si>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</si>
  <si>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</si>
  <si>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</si>
  <si>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</si>
  <si>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</si>
  <si>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</si>
  <si>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</si>
  <si>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</si>
  <si>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</si>
  <si>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</si>
  <si>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</si>
  <si>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</si>
  <si>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</si>
  <si>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</si>
  <si>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</si>
  <si>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</si>
  <si>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</si>
  <si>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</si>
  <si>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</si>
  <si>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</si>
  <si>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</si>
  <si>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</si>
  <si>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</si>
  <si>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</si>
  <si>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</si>
  <si>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</si>
  <si>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</si>
  <si>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</si>
  <si>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</si>
  <si>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</si>
  <si>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</si>
  <si>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</si>
  <si>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</si>
  <si>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</si>
  <si>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</si>
  <si>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</si>
  <si>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</si>
  <si>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</si>
  <si>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</si>
  <si>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</si>
  <si>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</si>
  <si>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</si>
  <si>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</si>
  <si>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</si>
  <si>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</si>
  <si>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</si>
  <si>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</si>
  <si>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</si>
  <si>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</si>
  <si>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</si>
  <si>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</si>
  <si>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</si>
  <si>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</si>
  <si>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</si>
  <si>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</si>
  <si>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</si>
  <si>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</si>
  <si>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</si>
  <si>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</si>
  <si>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</si>
  <si>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</si>
  <si>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</si>
  <si>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</si>
  <si>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</si>
  <si>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</si>
  <si>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</si>
  <si>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</si>
  <si>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</si>
  <si>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</si>
  <si>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</si>
  <si>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</si>
  <si>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</si>
  <si>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</si>
  <si>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</si>
  <si>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</si>
  <si>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</si>
  <si>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</si>
  <si>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</si>
  <si>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</si>
  <si>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</si>
  <si>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</si>
  <si>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</si>
  <si>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</si>
  <si>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</si>
  <si>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</si>
  <si>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</si>
  <si>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</si>
  <si>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</si>
  <si>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</si>
  <si>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</si>
  <si>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</si>
  <si>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</si>
  <si>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</si>
  <si>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</si>
  <si>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</si>
  <si>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</si>
  <si>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</si>
  <si>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</si>
  <si>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</si>
  <si>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</si>
  <si>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</si>
  <si>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</si>
  <si>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</si>
  <si>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</si>
  <si>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</si>
  <si>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</si>
  <si>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</si>
  <si>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</si>
  <si>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</si>
  <si>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</si>
  <si>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</si>
  <si>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</si>
  <si>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</si>
  <si>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</si>
  <si>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</si>
  <si>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</si>
  <si>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</si>
  <si>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</si>
  <si>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</si>
  <si>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</si>
  <si>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</si>
  <si>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</si>
  <si>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</si>
  <si>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</si>
  <si>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</si>
  <si>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</si>
  <si>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</si>
  <si>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</si>
  <si>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</si>
  <si>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</si>
  <si>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</si>
  <si>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</si>
  <si>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</si>
  <si>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</si>
  <si>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</si>
  <si>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</si>
  <si>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</si>
  <si>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</si>
  <si>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</si>
  <si>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</si>
  <si>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</si>
  <si>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</si>
  <si>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</si>
  <si>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</si>
  <si>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</si>
  <si>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</si>
  <si>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</si>
  <si>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</si>
  <si>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</si>
  <si>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</si>
  <si>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</si>
  <si>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</si>
  <si>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</si>
  <si>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</si>
  <si>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</si>
  <si>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</si>
  <si>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</si>
  <si>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</si>
  <si>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</si>
  <si>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</si>
  <si>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</si>
  <si>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</si>
  <si>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</si>
  <si>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</si>
  <si>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</si>
  <si>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</si>
  <si>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</si>
  <si>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</si>
  <si>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</si>
  <si>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</si>
  <si>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</si>
  <si>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</si>
  <si>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</si>
  <si>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</si>
  <si>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</si>
  <si>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</si>
  <si>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</si>
  <si>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</si>
  <si>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</si>
  <si>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</si>
  <si>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</si>
  <si>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</si>
  <si>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</si>
  <si>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</si>
  <si>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</si>
  <si>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</si>
  <si>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</si>
  <si>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</si>
  <si>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</si>
  <si>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</si>
  <si>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</si>
  <si>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</si>
  <si>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</si>
  <si>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</si>
  <si>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</si>
  <si>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</si>
  <si>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</si>
  <si>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</si>
  <si>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</si>
  <si>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</si>
  <si>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</si>
  <si>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</si>
  <si>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</si>
  <si>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</si>
  <si>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</si>
  <si>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</si>
  <si>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</si>
  <si>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</si>
  <si>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</si>
  <si>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</si>
  <si>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</si>
  <si>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</si>
  <si>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</si>
  <si>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</si>
  <si>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</si>
  <si>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</si>
  <si>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</si>
  <si>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</si>
  <si>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</si>
  <si>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</si>
  <si>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</si>
  <si>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</si>
  <si>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</si>
  <si>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</si>
  <si>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</si>
  <si>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</si>
  <si>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</si>
  <si>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</si>
  <si>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</si>
  <si>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</si>
  <si>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</si>
  <si>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</si>
  <si>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</si>
  <si>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</si>
  <si>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</si>
  <si>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</si>
  <si>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</si>
  <si>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</si>
  <si>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</si>
  <si>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</si>
  <si>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</si>
  <si>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</si>
  <si>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</si>
  <si>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</si>
  <si>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</si>
  <si>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</si>
  <si>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</si>
  <si>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</si>
  <si>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</si>
  <si>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</si>
  <si>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</si>
  <si>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</si>
  <si>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</si>
  <si>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</si>
  <si>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</si>
  <si>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</si>
  <si>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</si>
  <si>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</si>
  <si>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</si>
  <si>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</si>
  <si>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</si>
  <si>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</si>
  <si>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</si>
  <si>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</si>
  <si>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</si>
  <si>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</si>
  <si>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</si>
  <si>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</si>
  <si>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</si>
  <si>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</si>
  <si>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</si>
  <si>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</si>
  <si>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</si>
  <si>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</si>
  <si>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</si>
  <si>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</si>
  <si>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</si>
  <si>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</si>
  <si>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</si>
  <si>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</si>
  <si>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</si>
  <si>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</si>
  <si>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</si>
  <si>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</si>
  <si>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</si>
  <si>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</si>
  <si>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</si>
  <si>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</si>
  <si>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</si>
  <si>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</si>
  <si>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</si>
  <si>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</si>
  <si>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</si>
  <si>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</si>
  <si>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</si>
  <si>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</si>
  <si>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</si>
  <si>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</si>
  <si>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</si>
  <si>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</si>
  <si>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</si>
  <si>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</si>
  <si>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</si>
  <si>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</si>
  <si>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</si>
  <si>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</si>
  <si>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</si>
  <si>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</si>
  <si>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</si>
  <si>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</si>
  <si>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</si>
  <si>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</si>
  <si>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</si>
  <si>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</si>
  <si>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</si>
  <si>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</si>
  <si>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</si>
  <si>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</si>
  <si>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</si>
  <si>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</si>
  <si>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</si>
  <si>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</si>
  <si>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</si>
  <si>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</si>
  <si>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</si>
  <si>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</si>
  <si>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</si>
  <si>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</si>
  <si>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</si>
  <si>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</si>
  <si>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</si>
  <si>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</si>
  <si>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</si>
  <si>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</si>
  <si>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</si>
  <si>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</si>
  <si>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</si>
  <si>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</si>
  <si>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</si>
  <si>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</si>
  <si>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</si>
  <si>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</si>
  <si>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</si>
  <si>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</si>
  <si>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</si>
  <si>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</si>
  <si>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</si>
  <si>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</si>
  <si>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</si>
  <si>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</si>
  <si>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</si>
  <si>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</si>
  <si>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</si>
  <si>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</si>
  <si>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</si>
  <si>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</si>
  <si>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</si>
  <si>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</si>
  <si>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</si>
  <si>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</si>
  <si>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</si>
  <si>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</si>
  <si>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</si>
  <si>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</si>
  <si>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</si>
  <si>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</si>
  <si>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</si>
  <si>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</si>
  <si>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</si>
  <si>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</si>
  <si>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</si>
  <si>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</si>
  <si>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</si>
  <si>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</si>
  <si>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</si>
  <si>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</si>
  <si>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</si>
  <si>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</si>
  <si>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</si>
  <si>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</si>
  <si>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</si>
  <si>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</si>
  <si>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</si>
  <si>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</si>
  <si>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</si>
  <si>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</si>
  <si>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</si>
  <si>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</si>
  <si>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</si>
  <si>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</si>
  <si>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</si>
  <si>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</si>
  <si>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</si>
  <si>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</si>
  <si>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</si>
  <si>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</si>
  <si>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</si>
  <si>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</si>
  <si>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</si>
  <si>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</si>
  <si>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</si>
  <si>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</si>
  <si>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</si>
  <si>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</si>
  <si>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</si>
  <si>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</si>
  <si>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</si>
  <si>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</si>
  <si>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</si>
  <si>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</si>
  <si>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</si>
  <si>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</si>
  <si>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</si>
  <si>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</si>
  <si>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</si>
  <si>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</si>
  <si>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</si>
  <si>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</si>
  <si>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</si>
  <si>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</si>
  <si>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</si>
  <si>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</si>
  <si>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</si>
  <si>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</si>
  <si>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</si>
  <si>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</si>
  <si>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</si>
  <si>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</si>
  <si>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</si>
  <si>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</si>
  <si>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</si>
  <si>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</si>
  <si>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</si>
  <si>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</si>
  <si>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</si>
  <si>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</si>
  <si>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</si>
  <si>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</si>
  <si>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</si>
  <si>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</si>
  <si>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</si>
  <si>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</si>
  <si>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</si>
  <si>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</si>
  <si>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</si>
  <si>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</si>
  <si>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</si>
  <si>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</si>
  <si>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</si>
  <si>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</si>
  <si>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</si>
  <si>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</si>
  <si>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</si>
  <si>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</si>
  <si>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</si>
  <si>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</si>
  <si>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</si>
  <si>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</si>
  <si>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</si>
  <si>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</si>
  <si>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</si>
  <si>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</si>
  <si>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</si>
  <si>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</si>
  <si>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</si>
  <si>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</si>
  <si>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</si>
  <si>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</si>
  <si>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</si>
  <si>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</si>
  <si>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</si>
  <si>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</si>
  <si>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</si>
  <si>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</si>
  <si>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</si>
  <si>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</si>
  <si>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</si>
  <si>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AAPL_Return</t>
  </si>
  <si>
    <t>MSFT_Return</t>
  </si>
  <si>
    <t>NVDA_Return</t>
  </si>
  <si>
    <t>Mean_Returns (demo):</t>
  </si>
  <si>
    <t>Covariance matrix (demo)</t>
  </si>
  <si>
    <t>Cholesky L (3x3) - formulas</t>
  </si>
  <si>
    <t>L matrix (lower triangular)</t>
  </si>
  <si>
    <t>Pesos del portafolio (fixed):</t>
  </si>
  <si>
    <t>DIA</t>
  </si>
  <si>
    <t>z1</t>
  </si>
  <si>
    <t>z2</t>
  </si>
  <si>
    <t>z3</t>
  </si>
  <si>
    <t>R_AAPL</t>
  </si>
  <si>
    <t>R_MSFT</t>
  </si>
  <si>
    <t>R_NVDA</t>
  </si>
  <si>
    <t>R_Port</t>
  </si>
  <si>
    <t>Capital</t>
  </si>
  <si>
    <t>B6</t>
  </si>
  <si>
    <t>C6</t>
  </si>
  <si>
    <t>D6</t>
  </si>
  <si>
    <t>C7</t>
  </si>
  <si>
    <t>D7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</si>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</sst>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GBM Excel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Simulaciones!$I$3:$I$16</c:f>
              <c:numCache>
                <c:formatCode>General</c:formatCode>
                <c:ptCount val="14"/>
                <c:pt idx="0">
                  <c:v>10086.998401102261</c:v>
                </c:pt>
                <c:pt idx="1">
                  <c:v>10052.802623884105</c:v>
                </c:pt>
                <c:pt idx="2">
                  <c:v>10325.06364805504</c:v>
                </c:pt>
                <c:pt idx="3">
                  <c:v>10116.41943656177</c:v>
                </c:pt>
                <c:pt idx="4">
                  <c:v>10270.883742895803</c:v>
                </c:pt>
                <c:pt idx="5">
                  <c:v>10090.753980843436</c:v>
                </c:pt>
                <c:pt idx="6">
                  <c:v>9967.3766701945187</c:v>
                </c:pt>
                <c:pt idx="7">
                  <c:v>10076.712103921087</c:v>
                </c:pt>
                <c:pt idx="8">
                  <c:v>9955.0048163307238</c:v>
                </c:pt>
                <c:pt idx="9">
                  <c:v>9877.911390521569</c:v>
                </c:pt>
                <c:pt idx="10">
                  <c:v>9997.0390575542697</c:v>
                </c:pt>
                <c:pt idx="11">
                  <c:v>10099.493405114496</c:v>
                </c:pt>
                <c:pt idx="12">
                  <c:v>9808.0980320452582</c:v>
                </c:pt>
                <c:pt idx="13">
                  <c:v>9922.2412256698826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E-40F6-B482-F6428192C6F9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Simulaciones!$S$3:$S$16</c:f>
              <c:numCache>
                <c:formatCode>General</c:formatCode>
                <c:ptCount val="14"/>
                <c:pt idx="0">
                  <c:v>10036.772643668259</c:v>
                </c:pt>
                <c:pt idx="1">
                  <c:v>10018.730612926282</c:v>
                </c:pt>
                <c:pt idx="2">
                  <c:v>9791.2584692258824</c:v>
                </c:pt>
                <c:pt idx="3">
                  <c:v>9799.5745801951689</c:v>
                </c:pt>
                <c:pt idx="4">
                  <c:v>9644.2936035364346</c:v>
                </c:pt>
                <c:pt idx="5">
                  <c:v>9506.8629366738114</c:v>
                </c:pt>
                <c:pt idx="6">
                  <c:v>9509.7315257168884</c:v>
                </c:pt>
                <c:pt idx="7">
                  <c:v>9719.435377544889</c:v>
                </c:pt>
                <c:pt idx="8">
                  <c:v>9580.2841673091207</c:v>
                </c:pt>
                <c:pt idx="9">
                  <c:v>9369.4560121507493</c:v>
                </c:pt>
                <c:pt idx="10">
                  <c:v>9203.472023619066</c:v>
                </c:pt>
                <c:pt idx="11">
                  <c:v>9195.5224905885989</c:v>
                </c:pt>
                <c:pt idx="12">
                  <c:v>9345.3480011803276</c:v>
                </c:pt>
                <c:pt idx="13">
                  <c:v>9170.3375085610296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AE-40F6-B482-F6428192C6F9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Simulaciones!$AC$3:$AC$16</c:f>
              <c:numCache>
                <c:formatCode>General</c:formatCode>
                <c:ptCount val="14"/>
                <c:pt idx="0">
                  <c:v>9946.3618949765314</c:v>
                </c:pt>
                <c:pt idx="1">
                  <c:v>9936.8590395883111</c:v>
                </c:pt>
                <c:pt idx="2">
                  <c:v>9788.432382824496</c:v>
                </c:pt>
                <c:pt idx="3">
                  <c:v>9558.3540832345861</c:v>
                </c:pt>
                <c:pt idx="4">
                  <c:v>9699.9705049921504</c:v>
                </c:pt>
                <c:pt idx="5">
                  <c:v>9737.4684774068101</c:v>
                </c:pt>
                <c:pt idx="6">
                  <c:v>9890.1334175626616</c:v>
                </c:pt>
                <c:pt idx="7">
                  <c:v>10036.008237566803</c:v>
                </c:pt>
                <c:pt idx="8">
                  <c:v>10122.644994860377</c:v>
                </c:pt>
                <c:pt idx="9">
                  <c:v>10075.547044518016</c:v>
                </c:pt>
                <c:pt idx="10">
                  <c:v>9983.1667988779645</c:v>
                </c:pt>
                <c:pt idx="11">
                  <c:v>10031.324634590757</c:v>
                </c:pt>
                <c:pt idx="12">
                  <c:v>10005.974161427057</c:v>
                </c:pt>
                <c:pt idx="13">
                  <c:v>10284.412048632967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AE-40F6-B482-F6428192C6F9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Simulaciones!$AM$3:$AM$16</c:f>
              <c:numCache>
                <c:formatCode>General</c:formatCode>
                <c:ptCount val="14"/>
                <c:pt idx="0">
                  <c:v>9760.1050352039856</c:v>
                </c:pt>
                <c:pt idx="1">
                  <c:v>9829.4697919736554</c:v>
                </c:pt>
                <c:pt idx="2">
                  <c:v>9951.7462803447161</c:v>
                </c:pt>
                <c:pt idx="3">
                  <c:v>9669.499054784219</c:v>
                </c:pt>
                <c:pt idx="4">
                  <c:v>9621.2228743504838</c:v>
                </c:pt>
                <c:pt idx="5">
                  <c:v>9825.5384525162426</c:v>
                </c:pt>
                <c:pt idx="6">
                  <c:v>9846.2439868825568</c:v>
                </c:pt>
                <c:pt idx="7">
                  <c:v>9913.216447341385</c:v>
                </c:pt>
                <c:pt idx="8">
                  <c:v>9886.5622966532228</c:v>
                </c:pt>
                <c:pt idx="9">
                  <c:v>10056.232732443761</c:v>
                </c:pt>
                <c:pt idx="10">
                  <c:v>10312.271912607528</c:v>
                </c:pt>
                <c:pt idx="11">
                  <c:v>10480.937657795426</c:v>
                </c:pt>
                <c:pt idx="12">
                  <c:v>10442.827597087005</c:v>
                </c:pt>
                <c:pt idx="13">
                  <c:v>10463.377492425439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AE-40F6-B482-F6428192C6F9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Simulaciones!$AW$3:$AW$16</c:f>
              <c:numCache>
                <c:formatCode>General</c:formatCode>
                <c:ptCount val="14"/>
                <c:pt idx="0">
                  <c:v>9949.5688339263379</c:v>
                </c:pt>
                <c:pt idx="1">
                  <c:v>9937.2878478789698</c:v>
                </c:pt>
                <c:pt idx="2">
                  <c:v>9749.8699646242621</c:v>
                </c:pt>
                <c:pt idx="3">
                  <c:v>9695.6283179625971</c:v>
                </c:pt>
                <c:pt idx="4">
                  <c:v>9645.3559929721596</c:v>
                </c:pt>
                <c:pt idx="5">
                  <c:v>9837.0522691242022</c:v>
                </c:pt>
                <c:pt idx="6">
                  <c:v>9820.7383500371434</c:v>
                </c:pt>
                <c:pt idx="7">
                  <c:v>9694.0112514100692</c:v>
                </c:pt>
                <c:pt idx="8">
                  <c:v>9609.0884305654163</c:v>
                </c:pt>
                <c:pt idx="9">
                  <c:v>9488.9807784802233</c:v>
                </c:pt>
                <c:pt idx="10">
                  <c:v>9460.4350081546436</c:v>
                </c:pt>
                <c:pt idx="11">
                  <c:v>9609.2821585641123</c:v>
                </c:pt>
                <c:pt idx="12">
                  <c:v>9620.4419664529287</c:v>
                </c:pt>
                <c:pt idx="13">
                  <c:v>9925.192033960775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AE-40F6-B482-F6428192C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341408"/>
        <c:axId val="1443341888"/>
      </c:lineChart>
      <c:catAx>
        <c:axId val="144334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3341888"/>
        <c:crosses val="autoZero"/>
        <c:auto val="1"/>
        <c:lblAlgn val="ctr"/>
        <c:lblOffset val="100"/>
        <c:noMultiLvlLbl val="0"/>
      </c:catAx>
      <c:valAx>
        <c:axId val="14433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334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19</xdr:row>
      <xdr:rowOff>41910</xdr:rowOff>
    </xdr:from>
    <xdr:to>
      <xdr:col>6</xdr:col>
      <xdr:colOff>396240</xdr:colOff>
      <xdr:row>34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79DD24-A9A4-E9A6-7BE9-5363DA930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1"/>
  <sheetViews>
    <sheetView tabSelected="1" workbookViewId="0">
      <selection activeCell="B2" sqref="B2"/>
    </sheetView>
  </sheetViews>
  <sheetFormatPr baseColWidth="10" defaultColWidth="8.90625" defaultRowHeight="14.5" x14ac:dyDescent="0.35"/>
  <cols>
    <col min="1" max="1" width="10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6">
        <v>101.03879999999999</v>
      </c>
      <c r="C2">
        <v>150.33170000000001</v>
      </c>
      <c r="D2">
        <v>201.96789999999999</v>
      </c>
    </row>
    <row r="3" spans="1:4" x14ac:dyDescent="0.35">
      <c r="A3" t="s">
        <v>5</v>
      </c>
      <c r="B3">
        <v>100.8001</v>
      </c>
      <c r="C3">
        <v>148.8466</v>
      </c>
      <c r="D3">
        <v>199.71860000000001</v>
      </c>
    </row>
    <row r="4" spans="1:4" x14ac:dyDescent="0.35">
      <c r="A4" t="s">
        <v>6</v>
      </c>
      <c r="B4">
        <v>102.15519999999999</v>
      </c>
      <c r="C4">
        <v>150.77869999999999</v>
      </c>
      <c r="D4">
        <v>201.44839999999999</v>
      </c>
    </row>
    <row r="5" spans="1:4" x14ac:dyDescent="0.35">
      <c r="A5" t="s">
        <v>7</v>
      </c>
      <c r="B5">
        <v>105.3569</v>
      </c>
      <c r="C5">
        <v>149.3528</v>
      </c>
      <c r="D5">
        <v>199.49469999999999</v>
      </c>
    </row>
    <row r="6" spans="1:4" x14ac:dyDescent="0.35">
      <c r="A6" t="s">
        <v>8</v>
      </c>
      <c r="B6">
        <v>104.9066</v>
      </c>
      <c r="C6">
        <v>148.39920000000001</v>
      </c>
      <c r="D6">
        <v>203.3614</v>
      </c>
    </row>
    <row r="7" spans="1:4" x14ac:dyDescent="0.35">
      <c r="A7" t="s">
        <v>9</v>
      </c>
      <c r="B7">
        <v>104.45829999999999</v>
      </c>
      <c r="C7">
        <v>144.2937</v>
      </c>
      <c r="D7">
        <v>201.2296</v>
      </c>
    </row>
    <row r="8" spans="1:4" x14ac:dyDescent="0.35">
      <c r="A8" t="s">
        <v>10</v>
      </c>
      <c r="B8">
        <v>107.8533</v>
      </c>
      <c r="C8">
        <v>143.35919999999999</v>
      </c>
      <c r="D8">
        <v>203.631</v>
      </c>
    </row>
    <row r="9" spans="1:4" x14ac:dyDescent="0.35">
      <c r="A9" t="s">
        <v>11</v>
      </c>
      <c r="B9">
        <v>109.56529999999999</v>
      </c>
      <c r="C9">
        <v>138.28030000000001</v>
      </c>
      <c r="D9">
        <v>203.5642</v>
      </c>
    </row>
    <row r="10" spans="1:4" x14ac:dyDescent="0.35">
      <c r="A10" t="s">
        <v>12</v>
      </c>
      <c r="B10">
        <v>108.5848</v>
      </c>
      <c r="C10">
        <v>135.07249999999999</v>
      </c>
      <c r="D10">
        <v>210.67420000000001</v>
      </c>
    </row>
    <row r="11" spans="1:4" x14ac:dyDescent="0.35">
      <c r="A11" t="s">
        <v>13</v>
      </c>
      <c r="B11">
        <v>109.8134</v>
      </c>
      <c r="C11">
        <v>136.66130000000001</v>
      </c>
      <c r="D11">
        <v>210.46539999999999</v>
      </c>
    </row>
    <row r="12" spans="1:4" x14ac:dyDescent="0.35">
      <c r="A12" t="s">
        <v>14</v>
      </c>
      <c r="B12">
        <v>108.8438</v>
      </c>
      <c r="C12">
        <v>138.32140000000001</v>
      </c>
      <c r="D12">
        <v>199.6728</v>
      </c>
    </row>
    <row r="13" spans="1:4" x14ac:dyDescent="0.35">
      <c r="A13" t="s">
        <v>15</v>
      </c>
      <c r="B13">
        <v>107.87779999999999</v>
      </c>
      <c r="C13">
        <v>139.24700000000001</v>
      </c>
      <c r="D13">
        <v>207.49100000000001</v>
      </c>
    </row>
    <row r="14" spans="1:4" x14ac:dyDescent="0.35">
      <c r="A14" t="s">
        <v>16</v>
      </c>
      <c r="B14">
        <v>108.44450000000001</v>
      </c>
      <c r="C14">
        <v>137.28129999999999</v>
      </c>
      <c r="D14">
        <v>202.04</v>
      </c>
    </row>
    <row r="15" spans="1:4" x14ac:dyDescent="0.35">
      <c r="A15" t="s">
        <v>17</v>
      </c>
      <c r="B15">
        <v>104.41500000000001</v>
      </c>
      <c r="C15">
        <v>137.2225</v>
      </c>
      <c r="D15">
        <v>198.22499999999999</v>
      </c>
    </row>
    <row r="16" spans="1:4" x14ac:dyDescent="0.35">
      <c r="A16" t="s">
        <v>18</v>
      </c>
      <c r="B16">
        <v>100.91459999999999</v>
      </c>
      <c r="C16">
        <v>137.25460000000001</v>
      </c>
      <c r="D16">
        <v>194.82140000000001</v>
      </c>
    </row>
    <row r="17" spans="1:4" x14ac:dyDescent="0.35">
      <c r="A17" t="s">
        <v>19</v>
      </c>
      <c r="B17">
        <v>99.825999999999993</v>
      </c>
      <c r="C17">
        <v>134.92910000000001</v>
      </c>
      <c r="D17">
        <v>203.13409999999999</v>
      </c>
    </row>
    <row r="18" spans="1:4" x14ac:dyDescent="0.35">
      <c r="A18" t="s">
        <v>20</v>
      </c>
      <c r="B18">
        <v>97.863399999999999</v>
      </c>
      <c r="C18">
        <v>138.0461</v>
      </c>
      <c r="D18">
        <v>190.63220000000001</v>
      </c>
    </row>
    <row r="19" spans="1:4" x14ac:dyDescent="0.35">
      <c r="A19" t="s">
        <v>21</v>
      </c>
      <c r="B19">
        <v>98.519800000000004</v>
      </c>
      <c r="C19">
        <v>139.9151</v>
      </c>
      <c r="D19">
        <v>209.56379999999999</v>
      </c>
    </row>
    <row r="20" spans="1:4" x14ac:dyDescent="0.35">
      <c r="A20" t="s">
        <v>22</v>
      </c>
      <c r="B20">
        <v>96.785499999999999</v>
      </c>
      <c r="C20">
        <v>139.4922</v>
      </c>
      <c r="D20">
        <v>216.42850000000001</v>
      </c>
    </row>
    <row r="21" spans="1:4" x14ac:dyDescent="0.35">
      <c r="A21" t="s">
        <v>23</v>
      </c>
      <c r="B21">
        <v>94.127499999999998</v>
      </c>
      <c r="C21">
        <v>139.58860000000001</v>
      </c>
      <c r="D21">
        <v>218.0027</v>
      </c>
    </row>
    <row r="22" spans="1:4" x14ac:dyDescent="0.35">
      <c r="A22" t="s">
        <v>24</v>
      </c>
      <c r="B22">
        <v>96.966300000000004</v>
      </c>
      <c r="C22">
        <v>140.0659</v>
      </c>
      <c r="D22">
        <v>217.7637</v>
      </c>
    </row>
    <row r="23" spans="1:4" x14ac:dyDescent="0.35">
      <c r="A23" t="s">
        <v>25</v>
      </c>
      <c r="B23">
        <v>96.568100000000001</v>
      </c>
      <c r="C23">
        <v>135.88030000000001</v>
      </c>
      <c r="D23">
        <v>219.75800000000001</v>
      </c>
    </row>
    <row r="24" spans="1:4" x14ac:dyDescent="0.35">
      <c r="A24" t="s">
        <v>26</v>
      </c>
      <c r="B24">
        <v>96.737300000000005</v>
      </c>
      <c r="C24">
        <v>135.41640000000001</v>
      </c>
      <c r="D24">
        <v>223.34350000000001</v>
      </c>
    </row>
    <row r="25" spans="1:4" x14ac:dyDescent="0.35">
      <c r="A25" t="s">
        <v>27</v>
      </c>
      <c r="B25">
        <v>94.057299999999998</v>
      </c>
      <c r="C25">
        <v>134.07669999999999</v>
      </c>
      <c r="D25">
        <v>227.834</v>
      </c>
    </row>
    <row r="26" spans="1:4" x14ac:dyDescent="0.35">
      <c r="A26" t="s">
        <v>28</v>
      </c>
      <c r="B26">
        <v>93.075999999999993</v>
      </c>
      <c r="C26">
        <v>132.11529999999999</v>
      </c>
      <c r="D26">
        <v>231.79079999999999</v>
      </c>
    </row>
    <row r="27" spans="1:4" x14ac:dyDescent="0.35">
      <c r="A27" t="s">
        <v>29</v>
      </c>
      <c r="B27">
        <v>93.32</v>
      </c>
      <c r="C27">
        <v>131.59729999999999</v>
      </c>
      <c r="D27">
        <v>232.54239999999999</v>
      </c>
    </row>
    <row r="28" spans="1:4" x14ac:dyDescent="0.35">
      <c r="A28" t="s">
        <v>30</v>
      </c>
      <c r="B28">
        <v>91.232799999999997</v>
      </c>
      <c r="C28">
        <v>135.233</v>
      </c>
      <c r="D28">
        <v>231.297</v>
      </c>
    </row>
    <row r="29" spans="1:4" x14ac:dyDescent="0.35">
      <c r="A29" t="s">
        <v>31</v>
      </c>
      <c r="B29">
        <v>91.957700000000003</v>
      </c>
      <c r="C29">
        <v>136.57839999999999</v>
      </c>
      <c r="D29">
        <v>230.37639999999999</v>
      </c>
    </row>
    <row r="30" spans="1:4" x14ac:dyDescent="0.35">
      <c r="A30" t="s">
        <v>32</v>
      </c>
      <c r="B30">
        <v>90.896000000000001</v>
      </c>
      <c r="C30">
        <v>135.4522</v>
      </c>
      <c r="D30">
        <v>229.1592</v>
      </c>
    </row>
    <row r="31" spans="1:4" x14ac:dyDescent="0.35">
      <c r="A31" t="s">
        <v>33</v>
      </c>
      <c r="B31">
        <v>90.403400000000005</v>
      </c>
      <c r="C31">
        <v>136.65989999999999</v>
      </c>
      <c r="D31">
        <v>237.2182</v>
      </c>
    </row>
    <row r="32" spans="1:4" x14ac:dyDescent="0.35">
      <c r="A32" t="s">
        <v>34</v>
      </c>
      <c r="B32">
        <v>89.357699999999994</v>
      </c>
      <c r="C32">
        <v>139.59889999999999</v>
      </c>
      <c r="D32">
        <v>241.6129</v>
      </c>
    </row>
    <row r="33" spans="1:4" x14ac:dyDescent="0.35">
      <c r="A33" t="s">
        <v>35</v>
      </c>
      <c r="B33">
        <v>92.767200000000003</v>
      </c>
      <c r="C33">
        <v>141.58920000000001</v>
      </c>
      <c r="D33">
        <v>221.33449999999999</v>
      </c>
    </row>
    <row r="34" spans="1:4" x14ac:dyDescent="0.35">
      <c r="A34" t="s">
        <v>36</v>
      </c>
      <c r="B34">
        <v>92.779300000000006</v>
      </c>
      <c r="C34">
        <v>141.7567</v>
      </c>
      <c r="D34">
        <v>225.8571</v>
      </c>
    </row>
    <row r="35" spans="1:4" x14ac:dyDescent="0.35">
      <c r="A35" t="s">
        <v>37</v>
      </c>
      <c r="B35">
        <v>90.873599999999996</v>
      </c>
      <c r="C35">
        <v>140.4281</v>
      </c>
      <c r="D35">
        <v>227.30539999999999</v>
      </c>
    </row>
    <row r="36" spans="1:4" x14ac:dyDescent="0.35">
      <c r="A36" t="s">
        <v>38</v>
      </c>
      <c r="B36">
        <v>92.417900000000003</v>
      </c>
      <c r="C36">
        <v>141.94739999999999</v>
      </c>
      <c r="D36">
        <v>227.30279999999999</v>
      </c>
    </row>
    <row r="37" spans="1:4" x14ac:dyDescent="0.35">
      <c r="A37" t="s">
        <v>39</v>
      </c>
      <c r="B37">
        <v>90.224699999999999</v>
      </c>
      <c r="C37">
        <v>142.8287</v>
      </c>
      <c r="D37">
        <v>224.79249999999999</v>
      </c>
    </row>
    <row r="38" spans="1:4" x14ac:dyDescent="0.35">
      <c r="A38" t="s">
        <v>40</v>
      </c>
      <c r="B38">
        <v>90.638599999999997</v>
      </c>
      <c r="C38">
        <v>144.80119999999999</v>
      </c>
      <c r="D38">
        <v>232.63040000000001</v>
      </c>
    </row>
    <row r="39" spans="1:4" x14ac:dyDescent="0.35">
      <c r="A39" t="s">
        <v>41</v>
      </c>
      <c r="B39">
        <v>87.189800000000005</v>
      </c>
      <c r="C39">
        <v>146.2294</v>
      </c>
      <c r="D39">
        <v>239.46969999999999</v>
      </c>
    </row>
    <row r="40" spans="1:4" x14ac:dyDescent="0.35">
      <c r="A40" t="s">
        <v>42</v>
      </c>
      <c r="B40">
        <v>84.938199999999995</v>
      </c>
      <c r="C40">
        <v>148.5924</v>
      </c>
      <c r="D40">
        <v>234.10980000000001</v>
      </c>
    </row>
    <row r="41" spans="1:4" x14ac:dyDescent="0.35">
      <c r="A41" t="s">
        <v>43</v>
      </c>
      <c r="B41">
        <v>85.307400000000001</v>
      </c>
      <c r="C41">
        <v>147.44659999999999</v>
      </c>
      <c r="D41">
        <v>237.11660000000001</v>
      </c>
    </row>
    <row r="42" spans="1:4" x14ac:dyDescent="0.35">
      <c r="A42" t="s">
        <v>44</v>
      </c>
      <c r="B42">
        <v>86.6113</v>
      </c>
      <c r="C42">
        <v>150.4325</v>
      </c>
      <c r="D42">
        <v>230.43119999999999</v>
      </c>
    </row>
    <row r="43" spans="1:4" x14ac:dyDescent="0.35">
      <c r="A43" t="s">
        <v>45</v>
      </c>
      <c r="B43">
        <v>86.943399999999997</v>
      </c>
      <c r="C43">
        <v>150.92250000000001</v>
      </c>
      <c r="D43">
        <v>221.21029999999999</v>
      </c>
    </row>
    <row r="44" spans="1:4" x14ac:dyDescent="0.35">
      <c r="A44" t="s">
        <v>46</v>
      </c>
      <c r="B44">
        <v>86.777199999999993</v>
      </c>
      <c r="C44">
        <v>155.73920000000001</v>
      </c>
      <c r="D44">
        <v>217.20949999999999</v>
      </c>
    </row>
    <row r="45" spans="1:4" x14ac:dyDescent="0.35">
      <c r="A45" t="s">
        <v>47</v>
      </c>
      <c r="B45">
        <v>86.290700000000001</v>
      </c>
      <c r="C45">
        <v>154.18180000000001</v>
      </c>
      <c r="D45">
        <v>223.02500000000001</v>
      </c>
    </row>
    <row r="46" spans="1:4" x14ac:dyDescent="0.35">
      <c r="A46" t="s">
        <v>48</v>
      </c>
      <c r="B46">
        <v>83.81</v>
      </c>
      <c r="C46">
        <v>158.29480000000001</v>
      </c>
      <c r="D46">
        <v>229.62049999999999</v>
      </c>
    </row>
    <row r="47" spans="1:4" x14ac:dyDescent="0.35">
      <c r="A47" t="s">
        <v>49</v>
      </c>
      <c r="B47">
        <v>82.645099999999999</v>
      </c>
      <c r="C47">
        <v>158.81110000000001</v>
      </c>
      <c r="D47">
        <v>233.31049999999999</v>
      </c>
    </row>
    <row r="48" spans="1:4" x14ac:dyDescent="0.35">
      <c r="A48" t="s">
        <v>50</v>
      </c>
      <c r="B48">
        <v>81.919899999999998</v>
      </c>
      <c r="C48">
        <v>157.31209999999999</v>
      </c>
      <c r="D48">
        <v>238.57249999999999</v>
      </c>
    </row>
    <row r="49" spans="1:4" x14ac:dyDescent="0.35">
      <c r="A49" t="s">
        <v>51</v>
      </c>
      <c r="B49">
        <v>83.703800000000001</v>
      </c>
      <c r="C49">
        <v>156.2193</v>
      </c>
      <c r="D49">
        <v>242.4289</v>
      </c>
    </row>
    <row r="50" spans="1:4" x14ac:dyDescent="0.35">
      <c r="A50" t="s">
        <v>52</v>
      </c>
      <c r="B50">
        <v>84.314800000000005</v>
      </c>
      <c r="C50">
        <v>155.51509999999999</v>
      </c>
      <c r="D50">
        <v>237.93899999999999</v>
      </c>
    </row>
    <row r="51" spans="1:4" x14ac:dyDescent="0.35">
      <c r="A51" t="s">
        <v>53</v>
      </c>
      <c r="B51">
        <v>81.426100000000005</v>
      </c>
      <c r="C51">
        <v>156.55279999999999</v>
      </c>
      <c r="D51">
        <v>241.1748</v>
      </c>
    </row>
    <row r="52" spans="1:4" x14ac:dyDescent="0.35">
      <c r="A52" t="s">
        <v>54</v>
      </c>
      <c r="B52">
        <v>81.988399999999999</v>
      </c>
      <c r="C52">
        <v>157.83070000000001</v>
      </c>
      <c r="D52">
        <v>247.17189999999999</v>
      </c>
    </row>
    <row r="53" spans="1:4" x14ac:dyDescent="0.35">
      <c r="A53" t="s">
        <v>55</v>
      </c>
      <c r="B53">
        <v>81.391900000000007</v>
      </c>
      <c r="C53">
        <v>156.52330000000001</v>
      </c>
      <c r="D53">
        <v>252.96799999999999</v>
      </c>
    </row>
    <row r="54" spans="1:4" x14ac:dyDescent="0.35">
      <c r="A54" t="s">
        <v>56</v>
      </c>
      <c r="B54">
        <v>80.329599999999999</v>
      </c>
      <c r="C54">
        <v>156.5112</v>
      </c>
      <c r="D54">
        <v>262.29770000000002</v>
      </c>
    </row>
    <row r="55" spans="1:4" x14ac:dyDescent="0.35">
      <c r="A55" t="s">
        <v>57</v>
      </c>
      <c r="B55">
        <v>81.350899999999996</v>
      </c>
      <c r="C55">
        <v>161.6687</v>
      </c>
      <c r="D55">
        <v>268.07839999999999</v>
      </c>
    </row>
    <row r="56" spans="1:4" x14ac:dyDescent="0.35">
      <c r="A56" t="s">
        <v>58</v>
      </c>
      <c r="B56">
        <v>83.078999999999994</v>
      </c>
      <c r="C56">
        <v>165.9605</v>
      </c>
      <c r="D56">
        <v>271.06880000000001</v>
      </c>
    </row>
    <row r="57" spans="1:4" x14ac:dyDescent="0.35">
      <c r="A57" t="s">
        <v>59</v>
      </c>
      <c r="B57">
        <v>84.674700000000001</v>
      </c>
      <c r="C57">
        <v>167.09819999999999</v>
      </c>
      <c r="D57">
        <v>280.06659999999999</v>
      </c>
    </row>
    <row r="58" spans="1:4" x14ac:dyDescent="0.35">
      <c r="A58" t="s">
        <v>60</v>
      </c>
      <c r="B58">
        <v>83.298699999999997</v>
      </c>
      <c r="C58">
        <v>167.24160000000001</v>
      </c>
      <c r="D58">
        <v>279.99779999999998</v>
      </c>
    </row>
    <row r="59" spans="1:4" x14ac:dyDescent="0.35">
      <c r="A59" t="s">
        <v>61</v>
      </c>
      <c r="B59">
        <v>82.818200000000004</v>
      </c>
      <c r="C59">
        <v>167.59119999999999</v>
      </c>
      <c r="D59">
        <v>272.8372</v>
      </c>
    </row>
    <row r="60" spans="1:4" x14ac:dyDescent="0.35">
      <c r="A60" t="s">
        <v>62</v>
      </c>
      <c r="B60">
        <v>83.402100000000004</v>
      </c>
      <c r="C60">
        <v>169.1892</v>
      </c>
      <c r="D60">
        <v>271.6551</v>
      </c>
    </row>
    <row r="61" spans="1:4" x14ac:dyDescent="0.35">
      <c r="A61" t="s">
        <v>63</v>
      </c>
      <c r="B61">
        <v>85.079400000000007</v>
      </c>
      <c r="C61">
        <v>166.66120000000001</v>
      </c>
      <c r="D61">
        <v>265.79790000000003</v>
      </c>
    </row>
    <row r="62" spans="1:4" x14ac:dyDescent="0.35">
      <c r="A62" t="s">
        <v>64</v>
      </c>
      <c r="B62">
        <v>84.301599999999993</v>
      </c>
      <c r="C62">
        <v>166.0668</v>
      </c>
      <c r="D62">
        <v>260.61160000000001</v>
      </c>
    </row>
    <row r="63" spans="1:4" x14ac:dyDescent="0.35">
      <c r="A63" t="s">
        <v>65</v>
      </c>
      <c r="B63">
        <v>84.022800000000004</v>
      </c>
      <c r="C63">
        <v>162.0085</v>
      </c>
      <c r="D63">
        <v>259.62689999999998</v>
      </c>
    </row>
    <row r="64" spans="1:4" x14ac:dyDescent="0.35">
      <c r="A64" t="s">
        <v>66</v>
      </c>
      <c r="B64">
        <v>82.216899999999995</v>
      </c>
      <c r="C64">
        <v>163.02850000000001</v>
      </c>
      <c r="D64">
        <v>253.6671</v>
      </c>
    </row>
    <row r="65" spans="1:4" x14ac:dyDescent="0.35">
      <c r="A65" t="s">
        <v>67</v>
      </c>
      <c r="B65">
        <v>80.305400000000006</v>
      </c>
      <c r="C65">
        <v>164.6662</v>
      </c>
      <c r="D65">
        <v>251.4726</v>
      </c>
    </row>
    <row r="66" spans="1:4" x14ac:dyDescent="0.35">
      <c r="A66" t="s">
        <v>68</v>
      </c>
      <c r="B66">
        <v>81.653700000000001</v>
      </c>
      <c r="C66">
        <v>163.524</v>
      </c>
      <c r="D66">
        <v>237.7157</v>
      </c>
    </row>
    <row r="67" spans="1:4" x14ac:dyDescent="0.35">
      <c r="A67" t="s">
        <v>69</v>
      </c>
      <c r="B67">
        <v>83.932500000000005</v>
      </c>
      <c r="C67">
        <v>167.47890000000001</v>
      </c>
      <c r="D67">
        <v>239.3733</v>
      </c>
    </row>
    <row r="68" spans="1:4" x14ac:dyDescent="0.35">
      <c r="A68" t="s">
        <v>70</v>
      </c>
      <c r="B68">
        <v>83.845200000000006</v>
      </c>
      <c r="C68">
        <v>164.47489999999999</v>
      </c>
      <c r="D68">
        <v>239.5137</v>
      </c>
    </row>
    <row r="69" spans="1:4" x14ac:dyDescent="0.35">
      <c r="A69" t="s">
        <v>71</v>
      </c>
      <c r="B69">
        <v>85.5792</v>
      </c>
      <c r="C69">
        <v>160.9478</v>
      </c>
      <c r="D69">
        <v>233.8425</v>
      </c>
    </row>
    <row r="70" spans="1:4" x14ac:dyDescent="0.35">
      <c r="A70" t="s">
        <v>72</v>
      </c>
      <c r="B70">
        <v>86.234999999999999</v>
      </c>
      <c r="C70">
        <v>161.53700000000001</v>
      </c>
      <c r="D70">
        <v>238.6446</v>
      </c>
    </row>
    <row r="71" spans="1:4" x14ac:dyDescent="0.35">
      <c r="A71" t="s">
        <v>73</v>
      </c>
      <c r="B71">
        <v>85.163499999999999</v>
      </c>
      <c r="C71">
        <v>164.1414</v>
      </c>
      <c r="D71">
        <v>245.5873</v>
      </c>
    </row>
    <row r="72" spans="1:4" x14ac:dyDescent="0.35">
      <c r="A72" t="s">
        <v>74</v>
      </c>
      <c r="B72">
        <v>85.815600000000003</v>
      </c>
      <c r="C72">
        <v>168.3887</v>
      </c>
      <c r="D72">
        <v>234.1532</v>
      </c>
    </row>
    <row r="73" spans="1:4" x14ac:dyDescent="0.35">
      <c r="A73" t="s">
        <v>75</v>
      </c>
      <c r="B73">
        <v>88.531800000000004</v>
      </c>
      <c r="C73">
        <v>167.2817</v>
      </c>
      <c r="D73">
        <v>228.9821</v>
      </c>
    </row>
    <row r="74" spans="1:4" x14ac:dyDescent="0.35">
      <c r="A74" t="s">
        <v>76</v>
      </c>
      <c r="B74">
        <v>88.503799999999998</v>
      </c>
      <c r="C74">
        <v>170.0592</v>
      </c>
      <c r="D74">
        <v>223.88210000000001</v>
      </c>
    </row>
    <row r="75" spans="1:4" x14ac:dyDescent="0.35">
      <c r="A75" t="s">
        <v>77</v>
      </c>
      <c r="B75">
        <v>91.3536</v>
      </c>
      <c r="C75">
        <v>170.00989999999999</v>
      </c>
      <c r="D75">
        <v>217.77719999999999</v>
      </c>
    </row>
    <row r="76" spans="1:4" x14ac:dyDescent="0.35">
      <c r="A76" t="s">
        <v>78</v>
      </c>
      <c r="B76">
        <v>86.725099999999998</v>
      </c>
      <c r="C76">
        <v>169.619</v>
      </c>
      <c r="D76">
        <v>223.38720000000001</v>
      </c>
    </row>
    <row r="77" spans="1:4" x14ac:dyDescent="0.35">
      <c r="A77" t="s">
        <v>79</v>
      </c>
      <c r="B77">
        <v>88.197699999999998</v>
      </c>
      <c r="C77">
        <v>171.93170000000001</v>
      </c>
      <c r="D77">
        <v>222.21420000000001</v>
      </c>
    </row>
    <row r="78" spans="1:4" x14ac:dyDescent="0.35">
      <c r="A78" t="s">
        <v>80</v>
      </c>
      <c r="B78">
        <v>88.386799999999994</v>
      </c>
      <c r="C78">
        <v>173.6722</v>
      </c>
      <c r="D78">
        <v>220.57910000000001</v>
      </c>
    </row>
    <row r="79" spans="1:4" x14ac:dyDescent="0.35">
      <c r="A79" t="s">
        <v>81</v>
      </c>
      <c r="B79">
        <v>87.894900000000007</v>
      </c>
      <c r="C79">
        <v>169.66249999999999</v>
      </c>
      <c r="D79">
        <v>207.82380000000001</v>
      </c>
    </row>
    <row r="80" spans="1:4" x14ac:dyDescent="0.35">
      <c r="A80" t="s">
        <v>82</v>
      </c>
      <c r="B80">
        <v>88.0916</v>
      </c>
      <c r="C80">
        <v>173.512</v>
      </c>
      <c r="D80">
        <v>211.94</v>
      </c>
    </row>
    <row r="81" spans="1:4" x14ac:dyDescent="0.35">
      <c r="A81" t="s">
        <v>83</v>
      </c>
      <c r="B81">
        <v>84.692400000000006</v>
      </c>
      <c r="C81">
        <v>177.19229999999999</v>
      </c>
      <c r="D81">
        <v>204.3175</v>
      </c>
    </row>
    <row r="82" spans="1:4" x14ac:dyDescent="0.35">
      <c r="A82" t="s">
        <v>84</v>
      </c>
      <c r="B82">
        <v>84.354900000000001</v>
      </c>
      <c r="C82">
        <v>175.58789999999999</v>
      </c>
      <c r="D82">
        <v>204.7978</v>
      </c>
    </row>
    <row r="83" spans="1:4" x14ac:dyDescent="0.35">
      <c r="A83" t="s">
        <v>85</v>
      </c>
      <c r="B83">
        <v>84.993499999999997</v>
      </c>
      <c r="C83">
        <v>176.6842</v>
      </c>
      <c r="D83">
        <v>206.62270000000001</v>
      </c>
    </row>
    <row r="84" spans="1:4" x14ac:dyDescent="0.35">
      <c r="A84" t="s">
        <v>86</v>
      </c>
      <c r="B84">
        <v>87.578199999999995</v>
      </c>
      <c r="C84">
        <v>178.0496</v>
      </c>
      <c r="D84">
        <v>215.35</v>
      </c>
    </row>
    <row r="85" spans="1:4" x14ac:dyDescent="0.35">
      <c r="A85" t="s">
        <v>87</v>
      </c>
      <c r="B85">
        <v>86.709800000000001</v>
      </c>
      <c r="C85">
        <v>178.79849999999999</v>
      </c>
      <c r="D85">
        <v>207.1721</v>
      </c>
    </row>
    <row r="86" spans="1:4" x14ac:dyDescent="0.35">
      <c r="A86" t="s">
        <v>88</v>
      </c>
      <c r="B86">
        <v>85.353200000000001</v>
      </c>
      <c r="C86">
        <v>177.37970000000001</v>
      </c>
      <c r="D86">
        <v>189.33430000000001</v>
      </c>
    </row>
    <row r="87" spans="1:4" x14ac:dyDescent="0.35">
      <c r="A87" t="s">
        <v>89</v>
      </c>
      <c r="B87">
        <v>84.534700000000001</v>
      </c>
      <c r="C87">
        <v>175.65219999999999</v>
      </c>
      <c r="D87">
        <v>190.4862</v>
      </c>
    </row>
    <row r="88" spans="1:4" x14ac:dyDescent="0.35">
      <c r="A88" t="s">
        <v>90</v>
      </c>
      <c r="B88">
        <v>86.131100000000004</v>
      </c>
      <c r="C88">
        <v>175.6353</v>
      </c>
      <c r="D88">
        <v>201.16900000000001</v>
      </c>
    </row>
    <row r="89" spans="1:4" x14ac:dyDescent="0.35">
      <c r="A89" t="s">
        <v>91</v>
      </c>
      <c r="B89">
        <v>86.733900000000006</v>
      </c>
      <c r="C89">
        <v>178.80369999999999</v>
      </c>
      <c r="D89">
        <v>208.90170000000001</v>
      </c>
    </row>
    <row r="90" spans="1:4" x14ac:dyDescent="0.35">
      <c r="A90" t="s">
        <v>92</v>
      </c>
      <c r="B90">
        <v>85.854200000000006</v>
      </c>
      <c r="C90">
        <v>180.3194</v>
      </c>
      <c r="D90">
        <v>210.33539999999999</v>
      </c>
    </row>
    <row r="91" spans="1:4" x14ac:dyDescent="0.35">
      <c r="A91" t="s">
        <v>93</v>
      </c>
      <c r="B91">
        <v>86.774699999999996</v>
      </c>
      <c r="C91">
        <v>179.37129999999999</v>
      </c>
      <c r="D91">
        <v>207.3699</v>
      </c>
    </row>
    <row r="92" spans="1:4" x14ac:dyDescent="0.35">
      <c r="A92" t="s">
        <v>94</v>
      </c>
      <c r="B92">
        <v>86.978200000000001</v>
      </c>
      <c r="C92">
        <v>181.5119</v>
      </c>
      <c r="D92">
        <v>212.5693</v>
      </c>
    </row>
    <row r="93" spans="1:4" x14ac:dyDescent="0.35">
      <c r="A93" t="s">
        <v>95</v>
      </c>
      <c r="B93">
        <v>88.715100000000007</v>
      </c>
      <c r="C93">
        <v>173.96960000000001</v>
      </c>
      <c r="D93">
        <v>206.5643</v>
      </c>
    </row>
    <row r="94" spans="1:4" x14ac:dyDescent="0.35">
      <c r="A94" t="s">
        <v>96</v>
      </c>
      <c r="B94">
        <v>87.513099999999994</v>
      </c>
      <c r="C94">
        <v>177.04419999999999</v>
      </c>
      <c r="D94">
        <v>209.65270000000001</v>
      </c>
    </row>
    <row r="95" spans="1:4" x14ac:dyDescent="0.35">
      <c r="A95" t="s">
        <v>97</v>
      </c>
      <c r="B95">
        <v>86.976299999999995</v>
      </c>
      <c r="C95">
        <v>172.5335</v>
      </c>
      <c r="D95">
        <v>212.97319999999999</v>
      </c>
    </row>
    <row r="96" spans="1:4" x14ac:dyDescent="0.35">
      <c r="A96" t="s">
        <v>98</v>
      </c>
      <c r="B96">
        <v>86.331400000000002</v>
      </c>
      <c r="C96">
        <v>171.6474</v>
      </c>
      <c r="D96">
        <v>219.977</v>
      </c>
    </row>
    <row r="97" spans="1:4" x14ac:dyDescent="0.35">
      <c r="A97" t="s">
        <v>99</v>
      </c>
      <c r="B97">
        <v>83.874600000000001</v>
      </c>
      <c r="C97">
        <v>168.83709999999999</v>
      </c>
      <c r="D97">
        <v>239.09540000000001</v>
      </c>
    </row>
    <row r="98" spans="1:4" x14ac:dyDescent="0.35">
      <c r="A98" t="s">
        <v>100</v>
      </c>
      <c r="B98">
        <v>84.406599999999997</v>
      </c>
      <c r="C98">
        <v>165.63749999999999</v>
      </c>
      <c r="D98">
        <v>242.0599</v>
      </c>
    </row>
    <row r="99" spans="1:4" x14ac:dyDescent="0.35">
      <c r="A99" t="s">
        <v>101</v>
      </c>
      <c r="B99">
        <v>84.882400000000004</v>
      </c>
      <c r="C99">
        <v>168.59540000000001</v>
      </c>
      <c r="D99">
        <v>238.5231</v>
      </c>
    </row>
    <row r="100" spans="1:4" x14ac:dyDescent="0.35">
      <c r="A100" t="s">
        <v>102</v>
      </c>
      <c r="B100">
        <v>84.924999999999997</v>
      </c>
      <c r="C100">
        <v>167.4649</v>
      </c>
      <c r="D100">
        <v>238.47130000000001</v>
      </c>
    </row>
    <row r="101" spans="1:4" x14ac:dyDescent="0.35">
      <c r="A101" t="s">
        <v>103</v>
      </c>
      <c r="B101">
        <v>84.561300000000003</v>
      </c>
      <c r="C101">
        <v>168.386</v>
      </c>
      <c r="D101">
        <v>226.26949999999999</v>
      </c>
    </row>
    <row r="102" spans="1:4" x14ac:dyDescent="0.35">
      <c r="A102" t="s">
        <v>104</v>
      </c>
      <c r="B102">
        <v>82.234099999999998</v>
      </c>
      <c r="C102">
        <v>168.3159</v>
      </c>
      <c r="D102">
        <v>221.7244</v>
      </c>
    </row>
    <row r="103" spans="1:4" x14ac:dyDescent="0.35">
      <c r="A103" t="s">
        <v>105</v>
      </c>
      <c r="B103">
        <v>81.577799999999996</v>
      </c>
      <c r="C103">
        <v>169.57339999999999</v>
      </c>
      <c r="D103">
        <v>219.13910000000001</v>
      </c>
    </row>
    <row r="104" spans="1:4" x14ac:dyDescent="0.35">
      <c r="A104" t="s">
        <v>106</v>
      </c>
      <c r="B104">
        <v>81.052899999999994</v>
      </c>
      <c r="C104">
        <v>169.8177</v>
      </c>
      <c r="D104">
        <v>215.83930000000001</v>
      </c>
    </row>
    <row r="105" spans="1:4" x14ac:dyDescent="0.35">
      <c r="A105" t="s">
        <v>107</v>
      </c>
      <c r="B105">
        <v>79.794700000000006</v>
      </c>
      <c r="C105">
        <v>166.62870000000001</v>
      </c>
      <c r="D105">
        <v>216.94739999999999</v>
      </c>
    </row>
    <row r="106" spans="1:4" x14ac:dyDescent="0.35">
      <c r="A106" t="s">
        <v>108</v>
      </c>
      <c r="B106">
        <v>79.569500000000005</v>
      </c>
      <c r="C106">
        <v>169.18610000000001</v>
      </c>
      <c r="D106">
        <v>211.7766</v>
      </c>
    </row>
    <row r="107" spans="1:4" x14ac:dyDescent="0.35">
      <c r="A107" t="s">
        <v>109</v>
      </c>
      <c r="B107">
        <v>80.247200000000007</v>
      </c>
      <c r="C107">
        <v>167.98599999999999</v>
      </c>
      <c r="D107">
        <v>219.1405</v>
      </c>
    </row>
    <row r="108" spans="1:4" x14ac:dyDescent="0.35">
      <c r="A108" t="s">
        <v>110</v>
      </c>
      <c r="B108">
        <v>83.365600000000001</v>
      </c>
      <c r="C108">
        <v>164.15639999999999</v>
      </c>
      <c r="D108">
        <v>219.26240000000001</v>
      </c>
    </row>
    <row r="109" spans="1:4" x14ac:dyDescent="0.35">
      <c r="A109" t="s">
        <v>111</v>
      </c>
      <c r="B109">
        <v>83.690700000000007</v>
      </c>
      <c r="C109">
        <v>163.1525</v>
      </c>
      <c r="D109">
        <v>219.3219</v>
      </c>
    </row>
    <row r="110" spans="1:4" x14ac:dyDescent="0.35">
      <c r="A110" t="s">
        <v>112</v>
      </c>
      <c r="B110">
        <v>84.156499999999994</v>
      </c>
      <c r="C110">
        <v>166.91489999999999</v>
      </c>
      <c r="D110">
        <v>217.2945</v>
      </c>
    </row>
    <row r="111" spans="1:4" x14ac:dyDescent="0.35">
      <c r="A111" t="s">
        <v>113</v>
      </c>
      <c r="B111">
        <v>84.064899999999994</v>
      </c>
      <c r="C111">
        <v>169.10589999999999</v>
      </c>
      <c r="D111">
        <v>218.42859999999999</v>
      </c>
    </row>
    <row r="112" spans="1:4" x14ac:dyDescent="0.35">
      <c r="A112" t="s">
        <v>114</v>
      </c>
      <c r="B112">
        <v>80.932400000000001</v>
      </c>
      <c r="C112">
        <v>168.2722</v>
      </c>
      <c r="D112">
        <v>224.02600000000001</v>
      </c>
    </row>
    <row r="113" spans="1:4" x14ac:dyDescent="0.35">
      <c r="A113" t="s">
        <v>115</v>
      </c>
      <c r="B113">
        <v>80.921899999999994</v>
      </c>
      <c r="C113">
        <v>167.441</v>
      </c>
      <c r="D113">
        <v>218.39340000000001</v>
      </c>
    </row>
    <row r="114" spans="1:4" x14ac:dyDescent="0.35">
      <c r="A114" t="s">
        <v>116</v>
      </c>
      <c r="B114">
        <v>81.0518</v>
      </c>
      <c r="C114">
        <v>166.6831</v>
      </c>
      <c r="D114">
        <v>214.24170000000001</v>
      </c>
    </row>
    <row r="115" spans="1:4" x14ac:dyDescent="0.35">
      <c r="A115" t="s">
        <v>117</v>
      </c>
      <c r="B115">
        <v>85.178899999999999</v>
      </c>
      <c r="C115">
        <v>172.00659999999999</v>
      </c>
      <c r="D115">
        <v>212.4152</v>
      </c>
    </row>
    <row r="116" spans="1:4" x14ac:dyDescent="0.35">
      <c r="A116" t="s">
        <v>118</v>
      </c>
      <c r="B116">
        <v>84.8857</v>
      </c>
      <c r="C116">
        <v>173.0446</v>
      </c>
      <c r="D116">
        <v>204.12180000000001</v>
      </c>
    </row>
    <row r="117" spans="1:4" x14ac:dyDescent="0.35">
      <c r="A117" t="s">
        <v>119</v>
      </c>
      <c r="B117">
        <v>85.433400000000006</v>
      </c>
      <c r="C117">
        <v>174.21459999999999</v>
      </c>
      <c r="D117">
        <v>199.2757</v>
      </c>
    </row>
    <row r="118" spans="1:4" x14ac:dyDescent="0.35">
      <c r="A118" t="s">
        <v>120</v>
      </c>
      <c r="B118">
        <v>85.408299999999997</v>
      </c>
      <c r="C118">
        <v>176.9787</v>
      </c>
      <c r="D118">
        <v>196.55699999999999</v>
      </c>
    </row>
    <row r="119" spans="1:4" x14ac:dyDescent="0.35">
      <c r="A119" t="s">
        <v>121</v>
      </c>
      <c r="B119">
        <v>83.468500000000006</v>
      </c>
      <c r="C119">
        <v>177.66480000000001</v>
      </c>
      <c r="D119">
        <v>201.8922</v>
      </c>
    </row>
    <row r="120" spans="1:4" x14ac:dyDescent="0.35">
      <c r="A120" t="s">
        <v>122</v>
      </c>
      <c r="B120">
        <v>85.432400000000001</v>
      </c>
      <c r="C120">
        <v>177.02670000000001</v>
      </c>
      <c r="D120">
        <v>203.60069999999999</v>
      </c>
    </row>
    <row r="121" spans="1:4" x14ac:dyDescent="0.35">
      <c r="A121" t="s">
        <v>123</v>
      </c>
      <c r="B121">
        <v>86.761600000000001</v>
      </c>
      <c r="C121">
        <v>176.55680000000001</v>
      </c>
      <c r="D121">
        <v>204.89930000000001</v>
      </c>
    </row>
    <row r="122" spans="1:4" x14ac:dyDescent="0.35">
      <c r="A122" t="s">
        <v>124</v>
      </c>
      <c r="B122">
        <v>88.180400000000006</v>
      </c>
      <c r="C122">
        <v>176.41800000000001</v>
      </c>
      <c r="D122">
        <v>210.31270000000001</v>
      </c>
    </row>
    <row r="123" spans="1:4" x14ac:dyDescent="0.35">
      <c r="A123" t="s">
        <v>125</v>
      </c>
      <c r="B123">
        <v>86.625799999999998</v>
      </c>
      <c r="C123">
        <v>176.37029999999999</v>
      </c>
      <c r="D123">
        <v>209.56299999999999</v>
      </c>
    </row>
    <row r="124" spans="1:4" x14ac:dyDescent="0.35">
      <c r="A124" t="s">
        <v>126</v>
      </c>
      <c r="B124">
        <v>89.126199999999997</v>
      </c>
      <c r="C124">
        <v>178.3571</v>
      </c>
      <c r="D124">
        <v>212.1489</v>
      </c>
    </row>
    <row r="125" spans="1:4" x14ac:dyDescent="0.35">
      <c r="A125" t="s">
        <v>127</v>
      </c>
      <c r="B125">
        <v>86.696700000000007</v>
      </c>
      <c r="C125">
        <v>178.54740000000001</v>
      </c>
      <c r="D125">
        <v>211.60929999999999</v>
      </c>
    </row>
    <row r="126" spans="1:4" x14ac:dyDescent="0.35">
      <c r="A126" t="s">
        <v>128</v>
      </c>
      <c r="B126">
        <v>87.755399999999995</v>
      </c>
      <c r="C126">
        <v>180.57230000000001</v>
      </c>
      <c r="D126">
        <v>213.41800000000001</v>
      </c>
    </row>
    <row r="127" spans="1:4" x14ac:dyDescent="0.35">
      <c r="A127" t="s">
        <v>129</v>
      </c>
      <c r="B127">
        <v>91.721999999999994</v>
      </c>
      <c r="C127">
        <v>180.4057</v>
      </c>
      <c r="D127">
        <v>209.8347</v>
      </c>
    </row>
    <row r="128" spans="1:4" x14ac:dyDescent="0.35">
      <c r="A128" t="s">
        <v>130</v>
      </c>
      <c r="B128">
        <v>89.958799999999997</v>
      </c>
      <c r="C128">
        <v>180.6705</v>
      </c>
      <c r="D128">
        <v>195.1377</v>
      </c>
    </row>
    <row r="129" spans="1:4" x14ac:dyDescent="0.35">
      <c r="A129" t="s">
        <v>131</v>
      </c>
      <c r="B129">
        <v>88.981300000000005</v>
      </c>
      <c r="C129">
        <v>175.3861</v>
      </c>
      <c r="D129">
        <v>194.46010000000001</v>
      </c>
    </row>
    <row r="130" spans="1:4" x14ac:dyDescent="0.35">
      <c r="A130" t="s">
        <v>132</v>
      </c>
      <c r="B130">
        <v>89.194400000000002</v>
      </c>
      <c r="C130">
        <v>177.86449999999999</v>
      </c>
      <c r="D130">
        <v>203.0515</v>
      </c>
    </row>
    <row r="131" spans="1:4" x14ac:dyDescent="0.35">
      <c r="A131" t="s">
        <v>133</v>
      </c>
      <c r="B131">
        <v>88.336100000000002</v>
      </c>
      <c r="C131">
        <v>178.84270000000001</v>
      </c>
      <c r="D131">
        <v>208.88749999999999</v>
      </c>
    </row>
    <row r="132" spans="1:4" x14ac:dyDescent="0.35">
      <c r="A132" t="s">
        <v>134</v>
      </c>
      <c r="B132">
        <v>85.672899999999998</v>
      </c>
      <c r="C132">
        <v>181.5924</v>
      </c>
      <c r="D132">
        <v>215.14400000000001</v>
      </c>
    </row>
    <row r="133" spans="1:4" x14ac:dyDescent="0.35">
      <c r="A133" t="s">
        <v>135</v>
      </c>
      <c r="B133">
        <v>85.824700000000007</v>
      </c>
      <c r="C133">
        <v>173.9222</v>
      </c>
      <c r="D133">
        <v>223.39500000000001</v>
      </c>
    </row>
    <row r="134" spans="1:4" x14ac:dyDescent="0.35">
      <c r="A134" t="s">
        <v>136</v>
      </c>
      <c r="B134">
        <v>84.054100000000005</v>
      </c>
      <c r="C134">
        <v>179.50829999999999</v>
      </c>
      <c r="D134">
        <v>224.11320000000001</v>
      </c>
    </row>
    <row r="135" spans="1:4" x14ac:dyDescent="0.35">
      <c r="A135" t="s">
        <v>137</v>
      </c>
      <c r="B135">
        <v>84.888000000000005</v>
      </c>
      <c r="C135">
        <v>179.18430000000001</v>
      </c>
      <c r="D135">
        <v>225.56780000000001</v>
      </c>
    </row>
    <row r="136" spans="1:4" x14ac:dyDescent="0.35">
      <c r="A136" t="s">
        <v>138</v>
      </c>
      <c r="B136">
        <v>83.374700000000004</v>
      </c>
      <c r="C136">
        <v>182.24010000000001</v>
      </c>
      <c r="D136">
        <v>221.54849999999999</v>
      </c>
    </row>
    <row r="137" spans="1:4" x14ac:dyDescent="0.35">
      <c r="A137" t="s">
        <v>139</v>
      </c>
      <c r="B137">
        <v>86.034099999999995</v>
      </c>
      <c r="C137">
        <v>179.47110000000001</v>
      </c>
      <c r="D137">
        <v>219.57839999999999</v>
      </c>
    </row>
    <row r="138" spans="1:4" x14ac:dyDescent="0.35">
      <c r="A138" t="s">
        <v>140</v>
      </c>
      <c r="B138">
        <v>84.730699999999999</v>
      </c>
      <c r="C138">
        <v>181.18039999999999</v>
      </c>
      <c r="D138">
        <v>223.7954</v>
      </c>
    </row>
    <row r="139" spans="1:4" x14ac:dyDescent="0.35">
      <c r="A139" t="s">
        <v>141</v>
      </c>
      <c r="B139">
        <v>84.220399999999998</v>
      </c>
      <c r="C139">
        <v>178.3913</v>
      </c>
      <c r="D139">
        <v>232.15350000000001</v>
      </c>
    </row>
    <row r="140" spans="1:4" x14ac:dyDescent="0.35">
      <c r="A140" t="s">
        <v>142</v>
      </c>
      <c r="B140">
        <v>85.636099999999999</v>
      </c>
      <c r="C140">
        <v>176.7808</v>
      </c>
      <c r="D140">
        <v>231.3115</v>
      </c>
    </row>
    <row r="141" spans="1:4" x14ac:dyDescent="0.35">
      <c r="A141" t="s">
        <v>143</v>
      </c>
      <c r="B141">
        <v>83.587199999999996</v>
      </c>
      <c r="C141">
        <v>181.9821</v>
      </c>
      <c r="D141">
        <v>228.33410000000001</v>
      </c>
    </row>
    <row r="142" spans="1:4" x14ac:dyDescent="0.35">
      <c r="A142" t="s">
        <v>144</v>
      </c>
      <c r="B142">
        <v>84.001900000000006</v>
      </c>
      <c r="C142">
        <v>181.5145</v>
      </c>
      <c r="D142">
        <v>228.4633</v>
      </c>
    </row>
    <row r="143" spans="1:4" x14ac:dyDescent="0.35">
      <c r="A143" t="s">
        <v>145</v>
      </c>
      <c r="B143">
        <v>86.261399999999995</v>
      </c>
      <c r="C143">
        <v>182.15989999999999</v>
      </c>
      <c r="D143">
        <v>232.74930000000001</v>
      </c>
    </row>
    <row r="144" spans="1:4" x14ac:dyDescent="0.35">
      <c r="A144" t="s">
        <v>146</v>
      </c>
      <c r="B144">
        <v>83.565600000000003</v>
      </c>
      <c r="C144">
        <v>184.60589999999999</v>
      </c>
      <c r="D144">
        <v>223.00540000000001</v>
      </c>
    </row>
    <row r="145" spans="1:4" x14ac:dyDescent="0.35">
      <c r="A145" t="s">
        <v>147</v>
      </c>
      <c r="B145">
        <v>83.908299999999997</v>
      </c>
      <c r="C145">
        <v>186.03710000000001</v>
      </c>
      <c r="D145">
        <v>208.27529999999999</v>
      </c>
    </row>
    <row r="146" spans="1:4" x14ac:dyDescent="0.35">
      <c r="A146" t="s">
        <v>148</v>
      </c>
      <c r="B146">
        <v>84.379400000000004</v>
      </c>
      <c r="C146">
        <v>186.51089999999999</v>
      </c>
      <c r="D146">
        <v>204.97640000000001</v>
      </c>
    </row>
    <row r="147" spans="1:4" x14ac:dyDescent="0.35">
      <c r="A147" t="s">
        <v>149</v>
      </c>
      <c r="B147">
        <v>85.743399999999994</v>
      </c>
      <c r="C147">
        <v>187.58869999999999</v>
      </c>
      <c r="D147">
        <v>197.71430000000001</v>
      </c>
    </row>
    <row r="148" spans="1:4" x14ac:dyDescent="0.35">
      <c r="A148" t="s">
        <v>150</v>
      </c>
      <c r="B148">
        <v>83.681700000000006</v>
      </c>
      <c r="C148">
        <v>194.5308</v>
      </c>
      <c r="D148">
        <v>194.83029999999999</v>
      </c>
    </row>
    <row r="149" spans="1:4" x14ac:dyDescent="0.35">
      <c r="A149" t="s">
        <v>151</v>
      </c>
      <c r="B149">
        <v>81.533299999999997</v>
      </c>
      <c r="C149">
        <v>194.4186</v>
      </c>
      <c r="D149">
        <v>194.0752</v>
      </c>
    </row>
    <row r="150" spans="1:4" x14ac:dyDescent="0.35">
      <c r="A150" t="s">
        <v>152</v>
      </c>
      <c r="B150">
        <v>82.421800000000005</v>
      </c>
      <c r="C150">
        <v>195.06200000000001</v>
      </c>
      <c r="D150">
        <v>191.55940000000001</v>
      </c>
    </row>
    <row r="151" spans="1:4" x14ac:dyDescent="0.35">
      <c r="A151" t="s">
        <v>153</v>
      </c>
      <c r="B151">
        <v>82.945999999999998</v>
      </c>
      <c r="C151">
        <v>198.2175</v>
      </c>
      <c r="D151">
        <v>200.2011</v>
      </c>
    </row>
    <row r="152" spans="1:4" x14ac:dyDescent="0.35">
      <c r="A152" t="s">
        <v>154</v>
      </c>
      <c r="B152">
        <v>83.395899999999997</v>
      </c>
      <c r="C152">
        <v>201.5899</v>
      </c>
      <c r="D152">
        <v>202.28440000000001</v>
      </c>
    </row>
    <row r="153" spans="1:4" x14ac:dyDescent="0.35">
      <c r="A153" t="s">
        <v>155</v>
      </c>
      <c r="B153">
        <v>84.009399999999999</v>
      </c>
      <c r="C153">
        <v>205.2704</v>
      </c>
      <c r="D153">
        <v>204.22839999999999</v>
      </c>
    </row>
    <row r="154" spans="1:4" x14ac:dyDescent="0.35">
      <c r="A154" t="s">
        <v>156</v>
      </c>
      <c r="B154">
        <v>82.907700000000006</v>
      </c>
      <c r="C154">
        <v>207.30609999999999</v>
      </c>
      <c r="D154">
        <v>208.1908</v>
      </c>
    </row>
    <row r="155" spans="1:4" x14ac:dyDescent="0.35">
      <c r="A155" t="s">
        <v>157</v>
      </c>
      <c r="B155">
        <v>83.326999999999998</v>
      </c>
      <c r="C155">
        <v>203.8407</v>
      </c>
      <c r="D155">
        <v>201.30879999999999</v>
      </c>
    </row>
    <row r="156" spans="1:4" x14ac:dyDescent="0.35">
      <c r="A156" t="s">
        <v>158</v>
      </c>
      <c r="B156">
        <v>83.850399999999993</v>
      </c>
      <c r="C156">
        <v>208.95689999999999</v>
      </c>
      <c r="D156">
        <v>207.79740000000001</v>
      </c>
    </row>
    <row r="157" spans="1:4" x14ac:dyDescent="0.35">
      <c r="A157" t="s">
        <v>159</v>
      </c>
      <c r="B157">
        <v>82.694000000000003</v>
      </c>
      <c r="C157">
        <v>205.45359999999999</v>
      </c>
      <c r="D157">
        <v>207.43960000000001</v>
      </c>
    </row>
    <row r="158" spans="1:4" x14ac:dyDescent="0.35">
      <c r="A158" t="s">
        <v>160</v>
      </c>
      <c r="B158">
        <v>85.872399999999999</v>
      </c>
      <c r="C158">
        <v>206.4478</v>
      </c>
      <c r="D158">
        <v>211.77090000000001</v>
      </c>
    </row>
    <row r="159" spans="1:4" x14ac:dyDescent="0.35">
      <c r="A159" t="s">
        <v>161</v>
      </c>
      <c r="B159">
        <v>86.724800000000002</v>
      </c>
      <c r="C159">
        <v>204.18379999999999</v>
      </c>
      <c r="D159">
        <v>205.1824</v>
      </c>
    </row>
    <row r="160" spans="1:4" x14ac:dyDescent="0.35">
      <c r="A160" t="s">
        <v>162</v>
      </c>
      <c r="B160">
        <v>84.716800000000006</v>
      </c>
      <c r="C160">
        <v>204.0461</v>
      </c>
      <c r="D160">
        <v>195.94550000000001</v>
      </c>
    </row>
    <row r="161" spans="1:4" x14ac:dyDescent="0.35">
      <c r="A161" t="s">
        <v>163</v>
      </c>
      <c r="B161">
        <v>85.870900000000006</v>
      </c>
      <c r="C161">
        <v>205.1138</v>
      </c>
      <c r="D161">
        <v>200.92330000000001</v>
      </c>
    </row>
    <row r="162" spans="1:4" x14ac:dyDescent="0.35">
      <c r="A162" t="s">
        <v>164</v>
      </c>
      <c r="B162">
        <v>84.246799999999993</v>
      </c>
      <c r="C162">
        <v>206.16419999999999</v>
      </c>
      <c r="D162">
        <v>203.3168</v>
      </c>
    </row>
    <row r="163" spans="1:4" x14ac:dyDescent="0.35">
      <c r="A163" t="s">
        <v>165</v>
      </c>
      <c r="B163">
        <v>85.617699999999999</v>
      </c>
      <c r="C163">
        <v>207.53280000000001</v>
      </c>
      <c r="D163">
        <v>197.9974</v>
      </c>
    </row>
    <row r="164" spans="1:4" x14ac:dyDescent="0.35">
      <c r="A164" t="s">
        <v>166</v>
      </c>
      <c r="B164">
        <v>87.659899999999993</v>
      </c>
      <c r="C164">
        <v>212.67869999999999</v>
      </c>
      <c r="D164">
        <v>193.00460000000001</v>
      </c>
    </row>
    <row r="165" spans="1:4" x14ac:dyDescent="0.35">
      <c r="A165" t="s">
        <v>167</v>
      </c>
      <c r="B165">
        <v>86.267300000000006</v>
      </c>
      <c r="C165">
        <v>214.19200000000001</v>
      </c>
      <c r="D165">
        <v>199.74209999999999</v>
      </c>
    </row>
    <row r="166" spans="1:4" x14ac:dyDescent="0.35">
      <c r="A166" t="s">
        <v>168</v>
      </c>
      <c r="B166">
        <v>87.980800000000002</v>
      </c>
      <c r="C166">
        <v>213.47040000000001</v>
      </c>
      <c r="D166">
        <v>192.84649999999999</v>
      </c>
    </row>
    <row r="167" spans="1:4" x14ac:dyDescent="0.35">
      <c r="A167" t="s">
        <v>169</v>
      </c>
      <c r="B167">
        <v>88.745599999999996</v>
      </c>
      <c r="C167">
        <v>216.6421</v>
      </c>
      <c r="D167">
        <v>202.6995</v>
      </c>
    </row>
    <row r="168" spans="1:4" x14ac:dyDescent="0.35">
      <c r="A168" t="s">
        <v>170</v>
      </c>
      <c r="B168">
        <v>90.252899999999997</v>
      </c>
      <c r="C168">
        <v>220.60560000000001</v>
      </c>
      <c r="D168">
        <v>197.40469999999999</v>
      </c>
    </row>
    <row r="169" spans="1:4" x14ac:dyDescent="0.35">
      <c r="A169" t="s">
        <v>171</v>
      </c>
      <c r="B169">
        <v>93.78</v>
      </c>
      <c r="C169">
        <v>216.64279999999999</v>
      </c>
      <c r="D169">
        <v>201.33250000000001</v>
      </c>
    </row>
    <row r="170" spans="1:4" x14ac:dyDescent="0.35">
      <c r="A170" t="s">
        <v>172</v>
      </c>
      <c r="B170">
        <v>93.358199999999997</v>
      </c>
      <c r="C170">
        <v>218.6557</v>
      </c>
      <c r="D170">
        <v>199.46709999999999</v>
      </c>
    </row>
    <row r="171" spans="1:4" x14ac:dyDescent="0.35">
      <c r="A171" t="s">
        <v>173</v>
      </c>
      <c r="B171">
        <v>91.998199999999997</v>
      </c>
      <c r="C171">
        <v>221.03110000000001</v>
      </c>
      <c r="D171">
        <v>203.22120000000001</v>
      </c>
    </row>
    <row r="172" spans="1:4" x14ac:dyDescent="0.35">
      <c r="A172" t="s">
        <v>174</v>
      </c>
      <c r="B172">
        <v>90.412099999999995</v>
      </c>
      <c r="C172">
        <v>220.11</v>
      </c>
      <c r="D172">
        <v>200.04079999999999</v>
      </c>
    </row>
    <row r="173" spans="1:4" x14ac:dyDescent="0.35">
      <c r="A173" t="s">
        <v>175</v>
      </c>
      <c r="B173">
        <v>88.984499999999997</v>
      </c>
      <c r="C173">
        <v>224.76390000000001</v>
      </c>
      <c r="D173">
        <v>199.17580000000001</v>
      </c>
    </row>
    <row r="174" spans="1:4" x14ac:dyDescent="0.35">
      <c r="A174" t="s">
        <v>176</v>
      </c>
      <c r="B174">
        <v>88.882900000000006</v>
      </c>
      <c r="C174">
        <v>224.32310000000001</v>
      </c>
      <c r="D174">
        <v>199.53020000000001</v>
      </c>
    </row>
    <row r="175" spans="1:4" x14ac:dyDescent="0.35">
      <c r="A175" t="s">
        <v>177</v>
      </c>
      <c r="B175">
        <v>89.527299999999997</v>
      </c>
      <c r="C175">
        <v>224.81059999999999</v>
      </c>
      <c r="D175">
        <v>193.727</v>
      </c>
    </row>
    <row r="176" spans="1:4" x14ac:dyDescent="0.35">
      <c r="A176" t="s">
        <v>178</v>
      </c>
      <c r="B176">
        <v>90.060100000000006</v>
      </c>
      <c r="C176">
        <v>224.29220000000001</v>
      </c>
      <c r="D176">
        <v>198.18969999999999</v>
      </c>
    </row>
    <row r="177" spans="1:4" x14ac:dyDescent="0.35">
      <c r="A177" t="s">
        <v>179</v>
      </c>
      <c r="B177">
        <v>91.599000000000004</v>
      </c>
      <c r="C177">
        <v>224.4092</v>
      </c>
      <c r="D177">
        <v>195.26900000000001</v>
      </c>
    </row>
    <row r="178" spans="1:4" x14ac:dyDescent="0.35">
      <c r="A178" t="s">
        <v>180</v>
      </c>
      <c r="B178">
        <v>91.659499999999994</v>
      </c>
      <c r="C178">
        <v>220.8126</v>
      </c>
      <c r="D178">
        <v>194.0411</v>
      </c>
    </row>
    <row r="179" spans="1:4" x14ac:dyDescent="0.35">
      <c r="A179" t="s">
        <v>181</v>
      </c>
      <c r="B179">
        <v>94.400999999999996</v>
      </c>
      <c r="C179">
        <v>216.15620000000001</v>
      </c>
      <c r="D179">
        <v>188.4419</v>
      </c>
    </row>
    <row r="180" spans="1:4" x14ac:dyDescent="0.35">
      <c r="A180" t="s">
        <v>182</v>
      </c>
      <c r="B180">
        <v>93.940200000000004</v>
      </c>
      <c r="C180">
        <v>221.4521</v>
      </c>
      <c r="D180">
        <v>174.5951</v>
      </c>
    </row>
    <row r="181" spans="1:4" x14ac:dyDescent="0.35">
      <c r="A181" t="s">
        <v>183</v>
      </c>
      <c r="B181">
        <v>99.232100000000003</v>
      </c>
      <c r="C181">
        <v>218.7193</v>
      </c>
      <c r="D181">
        <v>173.69290000000001</v>
      </c>
    </row>
    <row r="182" spans="1:4" x14ac:dyDescent="0.35">
      <c r="A182" t="s">
        <v>184</v>
      </c>
      <c r="B182">
        <v>100.5218</v>
      </c>
      <c r="C182">
        <v>215.55279999999999</v>
      </c>
      <c r="D182">
        <v>186.83340000000001</v>
      </c>
    </row>
    <row r="183" spans="1:4" x14ac:dyDescent="0.35">
      <c r="A183" t="s">
        <v>185</v>
      </c>
      <c r="B183">
        <v>98.852800000000002</v>
      </c>
      <c r="C183">
        <v>208.76150000000001</v>
      </c>
      <c r="D183">
        <v>191.38849999999999</v>
      </c>
    </row>
    <row r="184" spans="1:4" x14ac:dyDescent="0.35">
      <c r="A184" t="s">
        <v>186</v>
      </c>
      <c r="B184">
        <v>96.796800000000005</v>
      </c>
      <c r="C184">
        <v>206.8297</v>
      </c>
      <c r="D184">
        <v>191.38319999999999</v>
      </c>
    </row>
    <row r="185" spans="1:4" x14ac:dyDescent="0.35">
      <c r="A185" t="s">
        <v>187</v>
      </c>
      <c r="B185">
        <v>97.774500000000003</v>
      </c>
      <c r="C185">
        <v>202.8236</v>
      </c>
      <c r="D185">
        <v>189.98419999999999</v>
      </c>
    </row>
    <row r="186" spans="1:4" x14ac:dyDescent="0.35">
      <c r="A186" t="s">
        <v>188</v>
      </c>
      <c r="B186">
        <v>97.377399999999994</v>
      </c>
      <c r="C186">
        <v>207.941</v>
      </c>
      <c r="D186">
        <v>190.21690000000001</v>
      </c>
    </row>
    <row r="187" spans="1:4" x14ac:dyDescent="0.35">
      <c r="A187" t="s">
        <v>189</v>
      </c>
      <c r="B187">
        <v>98.817400000000006</v>
      </c>
      <c r="C187">
        <v>211.1754</v>
      </c>
      <c r="D187">
        <v>193.47110000000001</v>
      </c>
    </row>
    <row r="188" spans="1:4" x14ac:dyDescent="0.35">
      <c r="A188" t="s">
        <v>190</v>
      </c>
      <c r="B188">
        <v>99.7971</v>
      </c>
      <c r="C188">
        <v>209.0669</v>
      </c>
      <c r="D188">
        <v>186.84020000000001</v>
      </c>
    </row>
    <row r="189" spans="1:4" x14ac:dyDescent="0.35">
      <c r="A189" t="s">
        <v>191</v>
      </c>
      <c r="B189">
        <v>99.691699999999997</v>
      </c>
      <c r="C189">
        <v>216.3135</v>
      </c>
      <c r="D189">
        <v>193.29810000000001</v>
      </c>
    </row>
    <row r="190" spans="1:4" x14ac:dyDescent="0.35">
      <c r="A190" t="s">
        <v>192</v>
      </c>
      <c r="B190">
        <v>98.056799999999996</v>
      </c>
      <c r="C190">
        <v>219.5857</v>
      </c>
      <c r="D190">
        <v>197.6001</v>
      </c>
    </row>
    <row r="191" spans="1:4" x14ac:dyDescent="0.35">
      <c r="A191" t="s">
        <v>193</v>
      </c>
      <c r="B191">
        <v>95.168499999999995</v>
      </c>
      <c r="C191">
        <v>218.5812</v>
      </c>
      <c r="D191">
        <v>202.0147</v>
      </c>
    </row>
    <row r="192" spans="1:4" x14ac:dyDescent="0.35">
      <c r="A192" t="s">
        <v>194</v>
      </c>
      <c r="B192">
        <v>94.360200000000006</v>
      </c>
      <c r="C192">
        <v>210.5986</v>
      </c>
      <c r="D192">
        <v>204.8023</v>
      </c>
    </row>
    <row r="193" spans="1:4" x14ac:dyDescent="0.35">
      <c r="A193" t="s">
        <v>195</v>
      </c>
      <c r="B193">
        <v>96.028700000000001</v>
      </c>
      <c r="C193">
        <v>218.0241</v>
      </c>
      <c r="D193">
        <v>205.03559999999999</v>
      </c>
    </row>
    <row r="194" spans="1:4" x14ac:dyDescent="0.35">
      <c r="A194" t="s">
        <v>196</v>
      </c>
      <c r="B194">
        <v>96.479399999999998</v>
      </c>
      <c r="C194">
        <v>213.5881</v>
      </c>
      <c r="D194">
        <v>209.33150000000001</v>
      </c>
    </row>
    <row r="195" spans="1:4" x14ac:dyDescent="0.35">
      <c r="A195" t="s">
        <v>197</v>
      </c>
      <c r="B195">
        <v>94.142899999999997</v>
      </c>
      <c r="C195">
        <v>208.441</v>
      </c>
      <c r="D195">
        <v>213.1985</v>
      </c>
    </row>
    <row r="196" spans="1:4" x14ac:dyDescent="0.35">
      <c r="A196" t="s">
        <v>198</v>
      </c>
      <c r="B196">
        <v>94.507400000000004</v>
      </c>
      <c r="C196">
        <v>211.72370000000001</v>
      </c>
      <c r="D196">
        <v>211.06209999999999</v>
      </c>
    </row>
    <row r="197" spans="1:4" x14ac:dyDescent="0.35">
      <c r="A197" t="s">
        <v>199</v>
      </c>
      <c r="B197">
        <v>95.276600000000002</v>
      </c>
      <c r="C197">
        <v>219.67869999999999</v>
      </c>
      <c r="D197">
        <v>207.5753</v>
      </c>
    </row>
    <row r="198" spans="1:4" x14ac:dyDescent="0.35">
      <c r="A198" t="s">
        <v>200</v>
      </c>
      <c r="B198">
        <v>93.644599999999997</v>
      </c>
      <c r="C198">
        <v>224.35230000000001</v>
      </c>
      <c r="D198">
        <v>208.32509999999999</v>
      </c>
    </row>
    <row r="199" spans="1:4" x14ac:dyDescent="0.35">
      <c r="A199" t="s">
        <v>201</v>
      </c>
      <c r="B199">
        <v>93.970600000000005</v>
      </c>
      <c r="C199">
        <v>226.32310000000001</v>
      </c>
      <c r="D199">
        <v>218.35470000000001</v>
      </c>
    </row>
    <row r="200" spans="1:4" x14ac:dyDescent="0.35">
      <c r="A200" t="s">
        <v>202</v>
      </c>
      <c r="B200">
        <v>94.117699999999999</v>
      </c>
      <c r="C200">
        <v>228.4169</v>
      </c>
      <c r="D200">
        <v>210.5025</v>
      </c>
    </row>
    <row r="201" spans="1:4" x14ac:dyDescent="0.35">
      <c r="A201" t="s">
        <v>203</v>
      </c>
      <c r="B201">
        <v>92.0274</v>
      </c>
      <c r="C201">
        <v>231.42619999999999</v>
      </c>
      <c r="D201">
        <v>201.54679999999999</v>
      </c>
    </row>
    <row r="202" spans="1:4" x14ac:dyDescent="0.35">
      <c r="A202" t="s">
        <v>204</v>
      </c>
      <c r="B202">
        <v>92.725399999999993</v>
      </c>
      <c r="C202">
        <v>234.1431</v>
      </c>
      <c r="D202">
        <v>202.65690000000001</v>
      </c>
    </row>
    <row r="203" spans="1:4" x14ac:dyDescent="0.35">
      <c r="A203" t="s">
        <v>205</v>
      </c>
      <c r="B203">
        <v>93.808700000000002</v>
      </c>
      <c r="C203">
        <v>235.2004</v>
      </c>
      <c r="D203">
        <v>203.07820000000001</v>
      </c>
    </row>
    <row r="204" spans="1:4" x14ac:dyDescent="0.35">
      <c r="A204" t="s">
        <v>206</v>
      </c>
      <c r="B204">
        <v>95.901200000000003</v>
      </c>
      <c r="C204">
        <v>235.636</v>
      </c>
      <c r="D204">
        <v>204.24930000000001</v>
      </c>
    </row>
    <row r="205" spans="1:4" x14ac:dyDescent="0.35">
      <c r="A205" t="s">
        <v>207</v>
      </c>
      <c r="B205">
        <v>97.983099999999993</v>
      </c>
      <c r="C205">
        <v>235.48259999999999</v>
      </c>
      <c r="D205">
        <v>205.86279999999999</v>
      </c>
    </row>
    <row r="206" spans="1:4" x14ac:dyDescent="0.35">
      <c r="A206" t="s">
        <v>208</v>
      </c>
      <c r="B206">
        <v>95.3583</v>
      </c>
      <c r="C206">
        <v>232.9014</v>
      </c>
      <c r="D206">
        <v>204.60140000000001</v>
      </c>
    </row>
    <row r="207" spans="1:4" x14ac:dyDescent="0.35">
      <c r="A207" t="s">
        <v>209</v>
      </c>
      <c r="B207">
        <v>93.623800000000003</v>
      </c>
      <c r="C207">
        <v>231.9896</v>
      </c>
      <c r="D207">
        <v>214.07140000000001</v>
      </c>
    </row>
    <row r="208" spans="1:4" x14ac:dyDescent="0.35">
      <c r="A208" t="s">
        <v>210</v>
      </c>
      <c r="B208">
        <v>94.631</v>
      </c>
      <c r="C208">
        <v>226.23759999999999</v>
      </c>
      <c r="D208">
        <v>204.1454</v>
      </c>
    </row>
    <row r="209" spans="1:4" x14ac:dyDescent="0.35">
      <c r="A209" t="s">
        <v>211</v>
      </c>
      <c r="B209">
        <v>95.646699999999996</v>
      </c>
      <c r="C209">
        <v>225.96899999999999</v>
      </c>
      <c r="D209">
        <v>199.24350000000001</v>
      </c>
    </row>
    <row r="210" spans="1:4" x14ac:dyDescent="0.35">
      <c r="A210" t="s">
        <v>212</v>
      </c>
      <c r="B210">
        <v>96.675700000000006</v>
      </c>
      <c r="C210">
        <v>222.70689999999999</v>
      </c>
      <c r="D210">
        <v>198.73660000000001</v>
      </c>
    </row>
    <row r="211" spans="1:4" x14ac:dyDescent="0.35">
      <c r="A211" t="s">
        <v>213</v>
      </c>
      <c r="B211">
        <v>104.46129999999999</v>
      </c>
      <c r="C211">
        <v>219.11359999999999</v>
      </c>
      <c r="D211">
        <v>189.28129999999999</v>
      </c>
    </row>
    <row r="212" spans="1:4" x14ac:dyDescent="0.35">
      <c r="A212" t="s">
        <v>214</v>
      </c>
      <c r="B212">
        <v>105.7032</v>
      </c>
      <c r="C212">
        <v>219.7688</v>
      </c>
      <c r="D212">
        <v>188.38900000000001</v>
      </c>
    </row>
    <row r="213" spans="1:4" x14ac:dyDescent="0.35">
      <c r="A213" t="s">
        <v>215</v>
      </c>
      <c r="B213">
        <v>108.17449999999999</v>
      </c>
      <c r="C213">
        <v>224.47040000000001</v>
      </c>
      <c r="D213">
        <v>198.126</v>
      </c>
    </row>
    <row r="214" spans="1:4" x14ac:dyDescent="0.35">
      <c r="A214" t="s">
        <v>216</v>
      </c>
      <c r="B214">
        <v>110.30240000000001</v>
      </c>
      <c r="C214">
        <v>227.64920000000001</v>
      </c>
      <c r="D214">
        <v>198.35919999999999</v>
      </c>
    </row>
    <row r="215" spans="1:4" x14ac:dyDescent="0.35">
      <c r="A215" t="s">
        <v>217</v>
      </c>
      <c r="B215">
        <v>111.7936</v>
      </c>
      <c r="C215">
        <v>222.41300000000001</v>
      </c>
      <c r="D215">
        <v>199.8467</v>
      </c>
    </row>
    <row r="216" spans="1:4" x14ac:dyDescent="0.35">
      <c r="A216" t="s">
        <v>218</v>
      </c>
      <c r="B216">
        <v>111.1353</v>
      </c>
      <c r="C216">
        <v>219.19880000000001</v>
      </c>
      <c r="D216">
        <v>192.5384</v>
      </c>
    </row>
    <row r="217" spans="1:4" x14ac:dyDescent="0.35">
      <c r="A217" t="s">
        <v>219</v>
      </c>
      <c r="B217">
        <v>112.88030000000001</v>
      </c>
      <c r="C217">
        <v>222.37790000000001</v>
      </c>
      <c r="D217">
        <v>189.11490000000001</v>
      </c>
    </row>
    <row r="218" spans="1:4" x14ac:dyDescent="0.35">
      <c r="A218" t="s">
        <v>220</v>
      </c>
      <c r="B218">
        <v>111.1934</v>
      </c>
      <c r="C218">
        <v>219.18770000000001</v>
      </c>
      <c r="D218">
        <v>187.1011</v>
      </c>
    </row>
    <row r="219" spans="1:4" x14ac:dyDescent="0.35">
      <c r="A219" t="s">
        <v>221</v>
      </c>
      <c r="B219">
        <v>110.7123</v>
      </c>
      <c r="C219">
        <v>218.51320000000001</v>
      </c>
      <c r="D219">
        <v>185.4281</v>
      </c>
    </row>
    <row r="220" spans="1:4" x14ac:dyDescent="0.35">
      <c r="A220" t="s">
        <v>222</v>
      </c>
      <c r="B220">
        <v>109.6867</v>
      </c>
      <c r="C220">
        <v>220.3869</v>
      </c>
      <c r="D220">
        <v>192.80260000000001</v>
      </c>
    </row>
    <row r="221" spans="1:4" x14ac:dyDescent="0.35">
      <c r="A221" t="s">
        <v>223</v>
      </c>
      <c r="B221">
        <v>109.9104</v>
      </c>
      <c r="C221">
        <v>217.2713</v>
      </c>
      <c r="D221">
        <v>196.16329999999999</v>
      </c>
    </row>
    <row r="222" spans="1:4" x14ac:dyDescent="0.35">
      <c r="A222" t="s">
        <v>224</v>
      </c>
      <c r="B222">
        <v>115.1641</v>
      </c>
      <c r="C222">
        <v>217.67760000000001</v>
      </c>
      <c r="D222">
        <v>189.8347</v>
      </c>
    </row>
    <row r="223" spans="1:4" x14ac:dyDescent="0.35">
      <c r="A223" t="s">
        <v>225</v>
      </c>
      <c r="B223">
        <v>110.98699999999999</v>
      </c>
      <c r="C223">
        <v>213.4264</v>
      </c>
      <c r="D223">
        <v>191.34899999999999</v>
      </c>
    </row>
    <row r="224" spans="1:4" x14ac:dyDescent="0.35">
      <c r="A224" t="s">
        <v>226</v>
      </c>
      <c r="B224">
        <v>112.5658</v>
      </c>
      <c r="C224">
        <v>211.57069999999999</v>
      </c>
      <c r="D224">
        <v>194.3374</v>
      </c>
    </row>
    <row r="225" spans="1:4" x14ac:dyDescent="0.35">
      <c r="A225" t="s">
        <v>227</v>
      </c>
      <c r="B225">
        <v>109.03660000000001</v>
      </c>
      <c r="C225">
        <v>212.6491</v>
      </c>
      <c r="D225">
        <v>201.21019999999999</v>
      </c>
    </row>
    <row r="226" spans="1:4" x14ac:dyDescent="0.35">
      <c r="A226" t="s">
        <v>228</v>
      </c>
      <c r="B226">
        <v>108.05549999999999</v>
      </c>
      <c r="C226">
        <v>207.68780000000001</v>
      </c>
      <c r="D226">
        <v>211.0967</v>
      </c>
    </row>
    <row r="227" spans="1:4" x14ac:dyDescent="0.35">
      <c r="A227" t="s">
        <v>229</v>
      </c>
      <c r="B227">
        <v>110.4789</v>
      </c>
      <c r="C227">
        <v>209.12469999999999</v>
      </c>
      <c r="D227">
        <v>204.8777</v>
      </c>
    </row>
    <row r="228" spans="1:4" x14ac:dyDescent="0.35">
      <c r="A228" t="s">
        <v>230</v>
      </c>
      <c r="B228">
        <v>110.6653</v>
      </c>
      <c r="C228">
        <v>209.1232</v>
      </c>
      <c r="D228">
        <v>200.0641</v>
      </c>
    </row>
    <row r="229" spans="1:4" x14ac:dyDescent="0.35">
      <c r="A229" t="s">
        <v>231</v>
      </c>
      <c r="B229">
        <v>108.34869999999999</v>
      </c>
      <c r="C229">
        <v>210.92410000000001</v>
      </c>
      <c r="D229">
        <v>192.7628</v>
      </c>
    </row>
    <row r="230" spans="1:4" x14ac:dyDescent="0.35">
      <c r="A230" t="s">
        <v>232</v>
      </c>
      <c r="B230">
        <v>106.85250000000001</v>
      </c>
      <c r="C230">
        <v>211.69460000000001</v>
      </c>
      <c r="D230">
        <v>191.51949999999999</v>
      </c>
    </row>
    <row r="231" spans="1:4" x14ac:dyDescent="0.35">
      <c r="A231" t="s">
        <v>233</v>
      </c>
      <c r="B231">
        <v>108.358</v>
      </c>
      <c r="C231">
        <v>216.13310000000001</v>
      </c>
      <c r="D231">
        <v>194.32470000000001</v>
      </c>
    </row>
    <row r="232" spans="1:4" x14ac:dyDescent="0.35">
      <c r="A232" t="s">
        <v>234</v>
      </c>
      <c r="B232">
        <v>106.8295</v>
      </c>
      <c r="C232">
        <v>216.60169999999999</v>
      </c>
      <c r="D232">
        <v>200.27680000000001</v>
      </c>
    </row>
    <row r="233" spans="1:4" x14ac:dyDescent="0.35">
      <c r="A233" t="s">
        <v>235</v>
      </c>
      <c r="B233">
        <v>107.3359</v>
      </c>
      <c r="C233">
        <v>215.27289999999999</v>
      </c>
      <c r="D233">
        <v>199.93090000000001</v>
      </c>
    </row>
    <row r="234" spans="1:4" x14ac:dyDescent="0.35">
      <c r="A234" t="s">
        <v>236</v>
      </c>
      <c r="B234">
        <v>107.47669999999999</v>
      </c>
      <c r="C234">
        <v>215.7302</v>
      </c>
      <c r="D234">
        <v>198.13059999999999</v>
      </c>
    </row>
    <row r="235" spans="1:4" x14ac:dyDescent="0.35">
      <c r="A235" t="s">
        <v>237</v>
      </c>
      <c r="B235">
        <v>106.1276</v>
      </c>
      <c r="C235">
        <v>217.55799999999999</v>
      </c>
      <c r="D235">
        <v>199.14420000000001</v>
      </c>
    </row>
    <row r="236" spans="1:4" x14ac:dyDescent="0.35">
      <c r="A236" t="s">
        <v>238</v>
      </c>
      <c r="B236">
        <v>110.8215</v>
      </c>
      <c r="C236">
        <v>217.7801</v>
      </c>
      <c r="D236">
        <v>194.3236</v>
      </c>
    </row>
    <row r="237" spans="1:4" x14ac:dyDescent="0.35">
      <c r="A237" t="s">
        <v>239</v>
      </c>
      <c r="B237">
        <v>112.2804</v>
      </c>
      <c r="C237">
        <v>217.97540000000001</v>
      </c>
      <c r="D237">
        <v>207.00880000000001</v>
      </c>
    </row>
    <row r="238" spans="1:4" x14ac:dyDescent="0.35">
      <c r="A238" t="s">
        <v>240</v>
      </c>
      <c r="B238">
        <v>107.86669999999999</v>
      </c>
      <c r="C238">
        <v>215.7542</v>
      </c>
      <c r="D238">
        <v>197.37020000000001</v>
      </c>
    </row>
    <row r="239" spans="1:4" x14ac:dyDescent="0.35">
      <c r="A239" t="s">
        <v>241</v>
      </c>
      <c r="B239">
        <v>108.31310000000001</v>
      </c>
      <c r="C239">
        <v>213.68090000000001</v>
      </c>
      <c r="D239">
        <v>198.5763</v>
      </c>
    </row>
    <row r="240" spans="1:4" x14ac:dyDescent="0.35">
      <c r="A240" t="s">
        <v>242</v>
      </c>
      <c r="B240">
        <v>106.93170000000001</v>
      </c>
      <c r="C240">
        <v>209.29239999999999</v>
      </c>
      <c r="D240">
        <v>211.12110000000001</v>
      </c>
    </row>
    <row r="241" spans="1:4" x14ac:dyDescent="0.35">
      <c r="A241" t="s">
        <v>243</v>
      </c>
      <c r="B241">
        <v>108.8139</v>
      </c>
      <c r="C241">
        <v>214.9195</v>
      </c>
      <c r="D241">
        <v>211.28030000000001</v>
      </c>
    </row>
    <row r="242" spans="1:4" x14ac:dyDescent="0.35">
      <c r="A242" t="s">
        <v>244</v>
      </c>
      <c r="B242">
        <v>107.1456</v>
      </c>
      <c r="C242">
        <v>211.00729999999999</v>
      </c>
      <c r="D242">
        <v>210.19479999999999</v>
      </c>
    </row>
    <row r="243" spans="1:4" x14ac:dyDescent="0.35">
      <c r="A243" t="s">
        <v>245</v>
      </c>
      <c r="B243">
        <v>106.9427</v>
      </c>
      <c r="C243">
        <v>208.88560000000001</v>
      </c>
      <c r="D243">
        <v>208.06720000000001</v>
      </c>
    </row>
    <row r="244" spans="1:4" x14ac:dyDescent="0.35">
      <c r="A244" t="s">
        <v>246</v>
      </c>
      <c r="B244">
        <v>108.0715</v>
      </c>
      <c r="C244">
        <v>206.7062</v>
      </c>
      <c r="D244">
        <v>207.0581</v>
      </c>
    </row>
    <row r="245" spans="1:4" x14ac:dyDescent="0.35">
      <c r="A245" t="s">
        <v>247</v>
      </c>
      <c r="B245">
        <v>110.0031</v>
      </c>
      <c r="C245">
        <v>209.5599</v>
      </c>
      <c r="D245">
        <v>215.8826</v>
      </c>
    </row>
    <row r="246" spans="1:4" x14ac:dyDescent="0.35">
      <c r="A246" t="s">
        <v>248</v>
      </c>
      <c r="B246">
        <v>107.43680000000001</v>
      </c>
      <c r="C246">
        <v>208.69479999999999</v>
      </c>
      <c r="D246">
        <v>202.1336</v>
      </c>
    </row>
    <row r="247" spans="1:4" x14ac:dyDescent="0.35">
      <c r="A247" t="s">
        <v>249</v>
      </c>
      <c r="B247">
        <v>106.76309999999999</v>
      </c>
      <c r="C247">
        <v>212.6987</v>
      </c>
      <c r="D247">
        <v>211.76599999999999</v>
      </c>
    </row>
    <row r="248" spans="1:4" x14ac:dyDescent="0.35">
      <c r="A248" t="s">
        <v>250</v>
      </c>
      <c r="B248">
        <v>105.7961</v>
      </c>
      <c r="C248">
        <v>210.62129999999999</v>
      </c>
      <c r="D248">
        <v>203.02180000000001</v>
      </c>
    </row>
    <row r="249" spans="1:4" x14ac:dyDescent="0.35">
      <c r="A249" t="s">
        <v>251</v>
      </c>
      <c r="B249">
        <v>104.4645</v>
      </c>
      <c r="C249">
        <v>211.56540000000001</v>
      </c>
      <c r="D249">
        <v>201.51499999999999</v>
      </c>
    </row>
    <row r="250" spans="1:4" x14ac:dyDescent="0.35">
      <c r="A250" t="s">
        <v>252</v>
      </c>
      <c r="B250">
        <v>108.26220000000001</v>
      </c>
      <c r="C250">
        <v>208.99100000000001</v>
      </c>
      <c r="D250">
        <v>199.0461</v>
      </c>
    </row>
    <row r="251" spans="1:4" x14ac:dyDescent="0.35">
      <c r="A251" t="s">
        <v>253</v>
      </c>
      <c r="B251">
        <v>109.1863</v>
      </c>
      <c r="C251">
        <v>215.88720000000001</v>
      </c>
      <c r="D251">
        <v>202.70330000000001</v>
      </c>
    </row>
    <row r="252" spans="1:4" x14ac:dyDescent="0.35">
      <c r="A252" t="s">
        <v>254</v>
      </c>
      <c r="B252">
        <v>106.5099</v>
      </c>
      <c r="C252">
        <v>212.13640000000001</v>
      </c>
      <c r="D252">
        <v>193.32050000000001</v>
      </c>
    </row>
    <row r="253" spans="1:4" x14ac:dyDescent="0.35">
      <c r="A253" t="s">
        <v>255</v>
      </c>
      <c r="B253">
        <v>108.5266</v>
      </c>
      <c r="C253">
        <v>213.1859</v>
      </c>
      <c r="D253">
        <v>196.12739999999999</v>
      </c>
    </row>
    <row r="254" spans="1:4" x14ac:dyDescent="0.35">
      <c r="A254" t="s">
        <v>256</v>
      </c>
      <c r="B254">
        <v>113.27719999999999</v>
      </c>
      <c r="C254">
        <v>215.2841</v>
      </c>
      <c r="D254">
        <v>208.52189999999999</v>
      </c>
    </row>
    <row r="255" spans="1:4" x14ac:dyDescent="0.35">
      <c r="A255" t="s">
        <v>257</v>
      </c>
      <c r="B255">
        <v>115.68689999999999</v>
      </c>
      <c r="C255">
        <v>216.68680000000001</v>
      </c>
      <c r="D255">
        <v>200.2764</v>
      </c>
    </row>
    <row r="256" spans="1:4" x14ac:dyDescent="0.35">
      <c r="A256" t="s">
        <v>258</v>
      </c>
      <c r="B256">
        <v>112.2693</v>
      </c>
      <c r="C256">
        <v>216.14750000000001</v>
      </c>
      <c r="D256">
        <v>201.53030000000001</v>
      </c>
    </row>
    <row r="257" spans="1:4" x14ac:dyDescent="0.35">
      <c r="A257" t="s">
        <v>259</v>
      </c>
      <c r="B257">
        <v>111.2317</v>
      </c>
      <c r="C257">
        <v>215.78909999999999</v>
      </c>
      <c r="D257">
        <v>197.67619999999999</v>
      </c>
    </row>
    <row r="258" spans="1:4" x14ac:dyDescent="0.35">
      <c r="A258" t="s">
        <v>260</v>
      </c>
      <c r="B258">
        <v>114.1318</v>
      </c>
      <c r="C258">
        <v>215.99299999999999</v>
      </c>
      <c r="D258">
        <v>200.32820000000001</v>
      </c>
    </row>
    <row r="259" spans="1:4" x14ac:dyDescent="0.35">
      <c r="A259" t="s">
        <v>261</v>
      </c>
      <c r="B259">
        <v>112.5728</v>
      </c>
      <c r="C259">
        <v>215.57929999999999</v>
      </c>
      <c r="D259">
        <v>200.55359999999999</v>
      </c>
    </row>
    <row r="260" spans="1:4" x14ac:dyDescent="0.35">
      <c r="A260" t="s">
        <v>262</v>
      </c>
      <c r="B260">
        <v>113.622</v>
      </c>
      <c r="C260">
        <v>218.7817</v>
      </c>
      <c r="D260">
        <v>196.8391</v>
      </c>
    </row>
    <row r="261" spans="1:4" x14ac:dyDescent="0.35">
      <c r="A261" t="s">
        <v>263</v>
      </c>
      <c r="B261">
        <v>115.4421</v>
      </c>
      <c r="C261">
        <v>226.2226</v>
      </c>
      <c r="D261">
        <v>199.85120000000001</v>
      </c>
    </row>
    <row r="262" spans="1:4" x14ac:dyDescent="0.35">
      <c r="A262" t="s">
        <v>264</v>
      </c>
      <c r="B262">
        <v>113.36709999999999</v>
      </c>
      <c r="C262">
        <v>224.4033</v>
      </c>
      <c r="D262">
        <v>211.08340000000001</v>
      </c>
    </row>
    <row r="263" spans="1:4" x14ac:dyDescent="0.35">
      <c r="A263" t="s">
        <v>265</v>
      </c>
      <c r="B263">
        <v>113.2775</v>
      </c>
      <c r="C263">
        <v>219.90270000000001</v>
      </c>
      <c r="D263">
        <v>209.99340000000001</v>
      </c>
    </row>
    <row r="264" spans="1:4" x14ac:dyDescent="0.35">
      <c r="A264" t="s">
        <v>266</v>
      </c>
      <c r="B264">
        <v>106.2097</v>
      </c>
      <c r="C264">
        <v>219.6748</v>
      </c>
      <c r="D264">
        <v>214.6951</v>
      </c>
    </row>
    <row r="265" spans="1:4" x14ac:dyDescent="0.35">
      <c r="A265" t="s">
        <v>267</v>
      </c>
      <c r="B265">
        <v>104.09739999999999</v>
      </c>
      <c r="C265">
        <v>228.4076</v>
      </c>
      <c r="D265">
        <v>206.63849999999999</v>
      </c>
    </row>
    <row r="266" spans="1:4" x14ac:dyDescent="0.35">
      <c r="A266" t="s">
        <v>268</v>
      </c>
      <c r="B266">
        <v>103.6144</v>
      </c>
      <c r="C266">
        <v>225.7355</v>
      </c>
      <c r="D266">
        <v>200.9041</v>
      </c>
    </row>
    <row r="267" spans="1:4" x14ac:dyDescent="0.35">
      <c r="A267" t="s">
        <v>269</v>
      </c>
      <c r="B267">
        <v>101.101</v>
      </c>
      <c r="C267">
        <v>231.42089999999999</v>
      </c>
      <c r="D267">
        <v>203.8837</v>
      </c>
    </row>
    <row r="268" spans="1:4" x14ac:dyDescent="0.35">
      <c r="A268" t="s">
        <v>270</v>
      </c>
      <c r="B268">
        <v>104.49809999999999</v>
      </c>
      <c r="C268">
        <v>237.3869</v>
      </c>
      <c r="D268">
        <v>213.28370000000001</v>
      </c>
    </row>
    <row r="269" spans="1:4" x14ac:dyDescent="0.35">
      <c r="A269" t="s">
        <v>271</v>
      </c>
      <c r="B269">
        <v>101.5921</v>
      </c>
      <c r="C269">
        <v>235.4915</v>
      </c>
      <c r="D269">
        <v>215.68989999999999</v>
      </c>
    </row>
    <row r="270" spans="1:4" x14ac:dyDescent="0.35">
      <c r="A270" t="s">
        <v>272</v>
      </c>
      <c r="B270">
        <v>100.7422</v>
      </c>
      <c r="C270">
        <v>237.57830000000001</v>
      </c>
      <c r="D270">
        <v>213.7912</v>
      </c>
    </row>
    <row r="271" spans="1:4" x14ac:dyDescent="0.35">
      <c r="A271" t="s">
        <v>273</v>
      </c>
      <c r="B271">
        <v>101.04640000000001</v>
      </c>
      <c r="C271">
        <v>243.52279999999999</v>
      </c>
      <c r="D271">
        <v>213.90430000000001</v>
      </c>
    </row>
    <row r="272" spans="1:4" x14ac:dyDescent="0.35">
      <c r="A272" t="s">
        <v>274</v>
      </c>
      <c r="B272">
        <v>104.0431</v>
      </c>
      <c r="C272">
        <v>242.2115</v>
      </c>
      <c r="D272">
        <v>206.14230000000001</v>
      </c>
    </row>
    <row r="273" spans="1:4" x14ac:dyDescent="0.35">
      <c r="A273" t="s">
        <v>275</v>
      </c>
      <c r="B273">
        <v>101.1382</v>
      </c>
      <c r="C273">
        <v>241.54239999999999</v>
      </c>
      <c r="D273">
        <v>210.03030000000001</v>
      </c>
    </row>
    <row r="274" spans="1:4" x14ac:dyDescent="0.35">
      <c r="A274" t="s">
        <v>276</v>
      </c>
      <c r="B274">
        <v>103.56</v>
      </c>
      <c r="C274">
        <v>239.5129</v>
      </c>
      <c r="D274">
        <v>215.78270000000001</v>
      </c>
    </row>
    <row r="275" spans="1:4" x14ac:dyDescent="0.35">
      <c r="A275" t="s">
        <v>277</v>
      </c>
      <c r="B275">
        <v>103.62260000000001</v>
      </c>
      <c r="C275">
        <v>235.96260000000001</v>
      </c>
      <c r="D275">
        <v>212.99299999999999</v>
      </c>
    </row>
    <row r="276" spans="1:4" x14ac:dyDescent="0.35">
      <c r="A276" t="s">
        <v>278</v>
      </c>
      <c r="B276">
        <v>101.649</v>
      </c>
      <c r="C276">
        <v>233.74289999999999</v>
      </c>
      <c r="D276">
        <v>210.12610000000001</v>
      </c>
    </row>
    <row r="277" spans="1:4" x14ac:dyDescent="0.35">
      <c r="A277" t="s">
        <v>279</v>
      </c>
      <c r="B277">
        <v>102.63379999999999</v>
      </c>
      <c r="C277">
        <v>229.55670000000001</v>
      </c>
      <c r="D277">
        <v>211.9254</v>
      </c>
    </row>
    <row r="278" spans="1:4" x14ac:dyDescent="0.35">
      <c r="A278" t="s">
        <v>280</v>
      </c>
      <c r="B278">
        <v>103.08450000000001</v>
      </c>
      <c r="C278">
        <v>229.74019999999999</v>
      </c>
      <c r="D278">
        <v>209.28200000000001</v>
      </c>
    </row>
    <row r="279" spans="1:4" x14ac:dyDescent="0.35">
      <c r="A279" t="s">
        <v>281</v>
      </c>
      <c r="B279">
        <v>101.8952</v>
      </c>
      <c r="C279">
        <v>227.16730000000001</v>
      </c>
      <c r="D279">
        <v>208.9821</v>
      </c>
    </row>
    <row r="280" spans="1:4" x14ac:dyDescent="0.35">
      <c r="A280" t="s">
        <v>282</v>
      </c>
      <c r="B280">
        <v>102.0783</v>
      </c>
      <c r="C280">
        <v>228.0309</v>
      </c>
      <c r="D280">
        <v>222.69220000000001</v>
      </c>
    </row>
    <row r="281" spans="1:4" x14ac:dyDescent="0.35">
      <c r="A281" t="s">
        <v>283</v>
      </c>
      <c r="B281">
        <v>101.3352</v>
      </c>
      <c r="C281">
        <v>222.8347</v>
      </c>
      <c r="D281">
        <v>221.1696</v>
      </c>
    </row>
    <row r="282" spans="1:4" x14ac:dyDescent="0.35">
      <c r="A282" t="s">
        <v>284</v>
      </c>
      <c r="B282">
        <v>101.6062</v>
      </c>
      <c r="C282">
        <v>224.0078</v>
      </c>
      <c r="D282">
        <v>218.92509999999999</v>
      </c>
    </row>
    <row r="283" spans="1:4" x14ac:dyDescent="0.35">
      <c r="A283" t="s">
        <v>285</v>
      </c>
      <c r="B283">
        <v>103.00190000000001</v>
      </c>
      <c r="C283">
        <v>226.8914</v>
      </c>
      <c r="D283">
        <v>214.8313</v>
      </c>
    </row>
    <row r="284" spans="1:4" x14ac:dyDescent="0.35">
      <c r="A284" t="s">
        <v>286</v>
      </c>
      <c r="B284">
        <v>106.364</v>
      </c>
      <c r="C284">
        <v>220.2697</v>
      </c>
      <c r="D284">
        <v>219.80240000000001</v>
      </c>
    </row>
    <row r="285" spans="1:4" x14ac:dyDescent="0.35">
      <c r="A285" t="s">
        <v>287</v>
      </c>
      <c r="B285">
        <v>103.8047</v>
      </c>
      <c r="C285">
        <v>221.5728</v>
      </c>
      <c r="D285">
        <v>218.73089999999999</v>
      </c>
    </row>
    <row r="286" spans="1:4" x14ac:dyDescent="0.35">
      <c r="A286" t="s">
        <v>288</v>
      </c>
      <c r="B286">
        <v>108.37220000000001</v>
      </c>
      <c r="C286">
        <v>225.75579999999999</v>
      </c>
      <c r="D286">
        <v>214.62899999999999</v>
      </c>
    </row>
    <row r="287" spans="1:4" x14ac:dyDescent="0.35">
      <c r="A287" t="s">
        <v>289</v>
      </c>
      <c r="B287">
        <v>104.26439999999999</v>
      </c>
      <c r="C287">
        <v>221.7602</v>
      </c>
      <c r="D287">
        <v>223.43049999999999</v>
      </c>
    </row>
    <row r="288" spans="1:4" x14ac:dyDescent="0.35">
      <c r="A288" t="s">
        <v>290</v>
      </c>
      <c r="B288">
        <v>103.99</v>
      </c>
      <c r="C288">
        <v>227.45959999999999</v>
      </c>
      <c r="D288">
        <v>233.27969999999999</v>
      </c>
    </row>
    <row r="289" spans="1:4" x14ac:dyDescent="0.35">
      <c r="A289" t="s">
        <v>291</v>
      </c>
      <c r="B289">
        <v>105.2629</v>
      </c>
      <c r="C289">
        <v>228.95959999999999</v>
      </c>
      <c r="D289">
        <v>229.2414</v>
      </c>
    </row>
    <row r="290" spans="1:4" x14ac:dyDescent="0.35">
      <c r="A290" t="s">
        <v>292</v>
      </c>
      <c r="B290">
        <v>105.8984</v>
      </c>
      <c r="C290">
        <v>226.61619999999999</v>
      </c>
      <c r="D290">
        <v>216.8768</v>
      </c>
    </row>
    <row r="291" spans="1:4" x14ac:dyDescent="0.35">
      <c r="A291" t="s">
        <v>293</v>
      </c>
      <c r="B291">
        <v>104.6296</v>
      </c>
      <c r="C291">
        <v>226.49180000000001</v>
      </c>
      <c r="D291">
        <v>223.655</v>
      </c>
    </row>
    <row r="292" spans="1:4" x14ac:dyDescent="0.35">
      <c r="A292" t="s">
        <v>294</v>
      </c>
      <c r="B292">
        <v>104.2367</v>
      </c>
      <c r="C292">
        <v>228.4623</v>
      </c>
      <c r="D292">
        <v>219.22880000000001</v>
      </c>
    </row>
    <row r="293" spans="1:4" x14ac:dyDescent="0.35">
      <c r="A293" t="s">
        <v>295</v>
      </c>
      <c r="B293">
        <v>103.25530000000001</v>
      </c>
      <c r="C293">
        <v>228.78870000000001</v>
      </c>
      <c r="D293">
        <v>224.61429999999999</v>
      </c>
    </row>
    <row r="294" spans="1:4" x14ac:dyDescent="0.35">
      <c r="A294" t="s">
        <v>296</v>
      </c>
      <c r="B294">
        <v>102.0861</v>
      </c>
      <c r="C294">
        <v>230.7114</v>
      </c>
      <c r="D294">
        <v>211.84010000000001</v>
      </c>
    </row>
    <row r="295" spans="1:4" x14ac:dyDescent="0.35">
      <c r="A295" t="s">
        <v>297</v>
      </c>
      <c r="B295">
        <v>103.8771</v>
      </c>
      <c r="C295">
        <v>227.61259999999999</v>
      </c>
      <c r="D295">
        <v>217.709</v>
      </c>
    </row>
    <row r="296" spans="1:4" x14ac:dyDescent="0.35">
      <c r="A296" t="s">
        <v>298</v>
      </c>
      <c r="B296">
        <v>104.6634</v>
      </c>
      <c r="C296">
        <v>228.25720000000001</v>
      </c>
      <c r="D296">
        <v>210.05600000000001</v>
      </c>
    </row>
    <row r="297" spans="1:4" x14ac:dyDescent="0.35">
      <c r="A297" t="s">
        <v>299</v>
      </c>
      <c r="B297">
        <v>103.2642</v>
      </c>
      <c r="C297">
        <v>223.53200000000001</v>
      </c>
      <c r="D297">
        <v>214.83009999999999</v>
      </c>
    </row>
    <row r="298" spans="1:4" x14ac:dyDescent="0.35">
      <c r="A298" t="s">
        <v>300</v>
      </c>
      <c r="B298">
        <v>105.181</v>
      </c>
      <c r="C298">
        <v>223.2236</v>
      </c>
      <c r="D298">
        <v>215.0403</v>
      </c>
    </row>
    <row r="299" spans="1:4" x14ac:dyDescent="0.35">
      <c r="A299" t="s">
        <v>301</v>
      </c>
      <c r="B299">
        <v>105.87179999999999</v>
      </c>
      <c r="C299">
        <v>220.2807</v>
      </c>
      <c r="D299">
        <v>209.08840000000001</v>
      </c>
    </row>
    <row r="300" spans="1:4" x14ac:dyDescent="0.35">
      <c r="A300" t="s">
        <v>302</v>
      </c>
      <c r="B300">
        <v>107.65009999999999</v>
      </c>
      <c r="C300">
        <v>217.9264</v>
      </c>
      <c r="D300">
        <v>206.6644</v>
      </c>
    </row>
    <row r="301" spans="1:4" x14ac:dyDescent="0.35">
      <c r="A301" t="s">
        <v>303</v>
      </c>
      <c r="B301">
        <v>109.0579</v>
      </c>
      <c r="C301">
        <v>222.0685</v>
      </c>
      <c r="D301">
        <v>211.0797</v>
      </c>
    </row>
    <row r="302" spans="1:4" x14ac:dyDescent="0.35">
      <c r="A302" t="s">
        <v>304</v>
      </c>
      <c r="B302">
        <v>107.3075</v>
      </c>
      <c r="C302">
        <v>225.79849999999999</v>
      </c>
      <c r="D302">
        <v>211.86779999999999</v>
      </c>
    </row>
    <row r="303" spans="1:4" x14ac:dyDescent="0.35">
      <c r="A303" t="s">
        <v>305</v>
      </c>
      <c r="B303">
        <v>106.1545</v>
      </c>
      <c r="C303">
        <v>227.9367</v>
      </c>
      <c r="D303">
        <v>215.7337</v>
      </c>
    </row>
    <row r="304" spans="1:4" x14ac:dyDescent="0.35">
      <c r="A304" t="s">
        <v>306</v>
      </c>
      <c r="B304">
        <v>107.7961</v>
      </c>
      <c r="C304">
        <v>224.29689999999999</v>
      </c>
      <c r="D304">
        <v>229.03809999999999</v>
      </c>
    </row>
    <row r="305" spans="1:4" x14ac:dyDescent="0.35">
      <c r="A305" t="s">
        <v>307</v>
      </c>
      <c r="B305">
        <v>109.16370000000001</v>
      </c>
      <c r="C305">
        <v>223.29910000000001</v>
      </c>
      <c r="D305">
        <v>218.6584</v>
      </c>
    </row>
    <row r="306" spans="1:4" x14ac:dyDescent="0.35">
      <c r="A306" t="s">
        <v>308</v>
      </c>
      <c r="B306">
        <v>109.1617</v>
      </c>
      <c r="C306">
        <v>227.4649</v>
      </c>
      <c r="D306">
        <v>229.65479999999999</v>
      </c>
    </row>
    <row r="307" spans="1:4" x14ac:dyDescent="0.35">
      <c r="A307" t="s">
        <v>309</v>
      </c>
      <c r="B307">
        <v>109.462</v>
      </c>
      <c r="C307">
        <v>228.0145</v>
      </c>
      <c r="D307">
        <v>230.5016</v>
      </c>
    </row>
    <row r="308" spans="1:4" x14ac:dyDescent="0.35">
      <c r="A308" t="s">
        <v>310</v>
      </c>
      <c r="B308">
        <v>112.34</v>
      </c>
      <c r="C308">
        <v>236.15459999999999</v>
      </c>
      <c r="D308">
        <v>224.49299999999999</v>
      </c>
    </row>
    <row r="309" spans="1:4" x14ac:dyDescent="0.35">
      <c r="A309" t="s">
        <v>311</v>
      </c>
      <c r="B309">
        <v>111.06319999999999</v>
      </c>
      <c r="C309">
        <v>237.62029999999999</v>
      </c>
      <c r="D309">
        <v>215.8287</v>
      </c>
    </row>
    <row r="310" spans="1:4" x14ac:dyDescent="0.35">
      <c r="A310" t="s">
        <v>312</v>
      </c>
      <c r="B310">
        <v>112.33</v>
      </c>
      <c r="C310">
        <v>238.37430000000001</v>
      </c>
      <c r="D310">
        <v>214.72569999999999</v>
      </c>
    </row>
    <row r="311" spans="1:4" x14ac:dyDescent="0.35">
      <c r="A311" t="s">
        <v>313</v>
      </c>
      <c r="B311">
        <v>111.92140000000001</v>
      </c>
      <c r="C311">
        <v>237.3398</v>
      </c>
      <c r="D311">
        <v>220.86699999999999</v>
      </c>
    </row>
    <row r="312" spans="1:4" x14ac:dyDescent="0.35">
      <c r="A312" t="s">
        <v>314</v>
      </c>
      <c r="B312">
        <v>111.4798</v>
      </c>
      <c r="C312">
        <v>237.88409999999999</v>
      </c>
      <c r="D312">
        <v>220.1446</v>
      </c>
    </row>
    <row r="313" spans="1:4" x14ac:dyDescent="0.35">
      <c r="A313" t="s">
        <v>315</v>
      </c>
      <c r="B313">
        <v>114.00230000000001</v>
      </c>
      <c r="C313">
        <v>237.40889999999999</v>
      </c>
      <c r="D313">
        <v>230.4812</v>
      </c>
    </row>
    <row r="314" spans="1:4" x14ac:dyDescent="0.35">
      <c r="A314" t="s">
        <v>316</v>
      </c>
      <c r="B314">
        <v>115.94629999999999</v>
      </c>
      <c r="C314">
        <v>240.01300000000001</v>
      </c>
      <c r="D314">
        <v>220.78380000000001</v>
      </c>
    </row>
    <row r="315" spans="1:4" x14ac:dyDescent="0.35">
      <c r="A315" t="s">
        <v>317</v>
      </c>
      <c r="B315">
        <v>117.8954</v>
      </c>
      <c r="C315">
        <v>243.5522</v>
      </c>
      <c r="D315">
        <v>220.82509999999999</v>
      </c>
    </row>
    <row r="316" spans="1:4" x14ac:dyDescent="0.35">
      <c r="A316" t="s">
        <v>318</v>
      </c>
      <c r="B316">
        <v>121.0625</v>
      </c>
      <c r="C316">
        <v>240.76679999999999</v>
      </c>
      <c r="D316">
        <v>212.79929999999999</v>
      </c>
    </row>
    <row r="317" spans="1:4" x14ac:dyDescent="0.35">
      <c r="A317" t="s">
        <v>319</v>
      </c>
      <c r="B317">
        <v>121.1618</v>
      </c>
      <c r="C317">
        <v>236.0746</v>
      </c>
      <c r="D317">
        <v>215.2518</v>
      </c>
    </row>
    <row r="318" spans="1:4" x14ac:dyDescent="0.35">
      <c r="A318" t="s">
        <v>320</v>
      </c>
      <c r="B318">
        <v>122.87479999999999</v>
      </c>
      <c r="C318">
        <v>229.72710000000001</v>
      </c>
      <c r="D318">
        <v>221.17740000000001</v>
      </c>
    </row>
    <row r="319" spans="1:4" x14ac:dyDescent="0.35">
      <c r="A319" t="s">
        <v>321</v>
      </c>
      <c r="B319">
        <v>122.1636</v>
      </c>
      <c r="C319">
        <v>231.55090000000001</v>
      </c>
      <c r="D319">
        <v>218.5232</v>
      </c>
    </row>
    <row r="320" spans="1:4" x14ac:dyDescent="0.35">
      <c r="A320" t="s">
        <v>322</v>
      </c>
      <c r="B320">
        <v>123.0074</v>
      </c>
      <c r="C320">
        <v>227.81559999999999</v>
      </c>
      <c r="D320">
        <v>202.21180000000001</v>
      </c>
    </row>
    <row r="321" spans="1:4" x14ac:dyDescent="0.35">
      <c r="A321" t="s">
        <v>323</v>
      </c>
      <c r="B321">
        <v>122.7367</v>
      </c>
      <c r="C321">
        <v>220.6396</v>
      </c>
      <c r="D321">
        <v>203.5342</v>
      </c>
    </row>
    <row r="322" spans="1:4" x14ac:dyDescent="0.35">
      <c r="A322" t="s">
        <v>324</v>
      </c>
      <c r="B322">
        <v>123.02419999999999</v>
      </c>
      <c r="C322">
        <v>221.9932</v>
      </c>
      <c r="D322">
        <v>206.33189999999999</v>
      </c>
    </row>
    <row r="323" spans="1:4" x14ac:dyDescent="0.35">
      <c r="A323" t="s">
        <v>325</v>
      </c>
      <c r="B323">
        <v>124.5472</v>
      </c>
      <c r="C323">
        <v>230.5181</v>
      </c>
      <c r="D323">
        <v>208.96469999999999</v>
      </c>
    </row>
    <row r="324" spans="1:4" x14ac:dyDescent="0.35">
      <c r="A324" t="s">
        <v>326</v>
      </c>
      <c r="B324">
        <v>122.5746</v>
      </c>
      <c r="C324">
        <v>230.5634</v>
      </c>
      <c r="D324">
        <v>216.97640000000001</v>
      </c>
    </row>
    <row r="325" spans="1:4" x14ac:dyDescent="0.35">
      <c r="A325" t="s">
        <v>327</v>
      </c>
      <c r="B325">
        <v>127.86409999999999</v>
      </c>
      <c r="C325">
        <v>233.5487</v>
      </c>
      <c r="D325">
        <v>210.23099999999999</v>
      </c>
    </row>
    <row r="326" spans="1:4" x14ac:dyDescent="0.35">
      <c r="A326" t="s">
        <v>328</v>
      </c>
      <c r="B326">
        <v>125.3672</v>
      </c>
      <c r="C326">
        <v>233.90280000000001</v>
      </c>
      <c r="D326">
        <v>214.6832</v>
      </c>
    </row>
    <row r="327" spans="1:4" x14ac:dyDescent="0.35">
      <c r="A327" t="s">
        <v>329</v>
      </c>
      <c r="B327">
        <v>122.4085</v>
      </c>
      <c r="C327">
        <v>233.6233</v>
      </c>
      <c r="D327">
        <v>222.625</v>
      </c>
    </row>
    <row r="328" spans="1:4" x14ac:dyDescent="0.35">
      <c r="A328" t="s">
        <v>330</v>
      </c>
      <c r="B328">
        <v>125.32689999999999</v>
      </c>
      <c r="C328">
        <v>236.93440000000001</v>
      </c>
      <c r="D328">
        <v>211.1737</v>
      </c>
    </row>
    <row r="329" spans="1:4" x14ac:dyDescent="0.35">
      <c r="A329" t="s">
        <v>331</v>
      </c>
      <c r="B329">
        <v>127.378</v>
      </c>
      <c r="C329">
        <v>235.97290000000001</v>
      </c>
      <c r="D329">
        <v>213.32579999999999</v>
      </c>
    </row>
    <row r="330" spans="1:4" x14ac:dyDescent="0.35">
      <c r="A330" t="s">
        <v>332</v>
      </c>
      <c r="B330">
        <v>129.02959999999999</v>
      </c>
      <c r="C330">
        <v>236.98929999999999</v>
      </c>
      <c r="D330">
        <v>210.239</v>
      </c>
    </row>
    <row r="331" spans="1:4" x14ac:dyDescent="0.35">
      <c r="A331" t="s">
        <v>333</v>
      </c>
      <c r="B331">
        <v>130.71360000000001</v>
      </c>
      <c r="C331">
        <v>238.20419999999999</v>
      </c>
      <c r="D331">
        <v>209.8409</v>
      </c>
    </row>
    <row r="332" spans="1:4" x14ac:dyDescent="0.35">
      <c r="A332" t="s">
        <v>334</v>
      </c>
      <c r="B332">
        <v>130.7338</v>
      </c>
      <c r="C332">
        <v>235.89680000000001</v>
      </c>
      <c r="D332">
        <v>212.15770000000001</v>
      </c>
    </row>
    <row r="333" spans="1:4" x14ac:dyDescent="0.35">
      <c r="A333" t="s">
        <v>335</v>
      </c>
      <c r="B333">
        <v>128.46010000000001</v>
      </c>
      <c r="C333">
        <v>239.50219999999999</v>
      </c>
      <c r="D333">
        <v>209.1942</v>
      </c>
    </row>
    <row r="334" spans="1:4" x14ac:dyDescent="0.35">
      <c r="A334" t="s">
        <v>336</v>
      </c>
      <c r="B334">
        <v>128.70650000000001</v>
      </c>
      <c r="C334">
        <v>238.94309999999999</v>
      </c>
      <c r="D334">
        <v>205.10900000000001</v>
      </c>
    </row>
    <row r="335" spans="1:4" x14ac:dyDescent="0.35">
      <c r="A335" t="s">
        <v>337</v>
      </c>
      <c r="B335">
        <v>127.02589999999999</v>
      </c>
      <c r="C335">
        <v>236.3176</v>
      </c>
      <c r="D335">
        <v>205.4323</v>
      </c>
    </row>
    <row r="336" spans="1:4" x14ac:dyDescent="0.35">
      <c r="A336" t="s">
        <v>338</v>
      </c>
      <c r="B336">
        <v>129.57939999999999</v>
      </c>
      <c r="C336">
        <v>238.29560000000001</v>
      </c>
      <c r="D336">
        <v>198.94909999999999</v>
      </c>
    </row>
    <row r="337" spans="1:4" x14ac:dyDescent="0.35">
      <c r="A337" t="s">
        <v>339</v>
      </c>
      <c r="B337">
        <v>129.25049999999999</v>
      </c>
      <c r="C337">
        <v>235.17330000000001</v>
      </c>
      <c r="D337">
        <v>192.67869999999999</v>
      </c>
    </row>
    <row r="338" spans="1:4" x14ac:dyDescent="0.35">
      <c r="A338" t="s">
        <v>340</v>
      </c>
      <c r="B338">
        <v>127.185</v>
      </c>
      <c r="C338">
        <v>235.34030000000001</v>
      </c>
      <c r="D338">
        <v>196.7542</v>
      </c>
    </row>
    <row r="339" spans="1:4" x14ac:dyDescent="0.35">
      <c r="A339" t="s">
        <v>341</v>
      </c>
      <c r="B339">
        <v>126.42059999999999</v>
      </c>
      <c r="C339">
        <v>235.3758</v>
      </c>
      <c r="D339">
        <v>190.1934</v>
      </c>
    </row>
    <row r="340" spans="1:4" x14ac:dyDescent="0.35">
      <c r="A340" t="s">
        <v>342</v>
      </c>
      <c r="B340">
        <v>127.52</v>
      </c>
      <c r="C340">
        <v>239.3099</v>
      </c>
      <c r="D340">
        <v>194.1403</v>
      </c>
    </row>
    <row r="341" spans="1:4" x14ac:dyDescent="0.35">
      <c r="A341" t="s">
        <v>343</v>
      </c>
      <c r="B341">
        <v>126.1408</v>
      </c>
      <c r="C341">
        <v>241.08930000000001</v>
      </c>
      <c r="D341">
        <v>196.9616</v>
      </c>
    </row>
    <row r="342" spans="1:4" x14ac:dyDescent="0.35">
      <c r="A342" t="s">
        <v>344</v>
      </c>
      <c r="B342">
        <v>124.1331</v>
      </c>
      <c r="C342">
        <v>241.06809999999999</v>
      </c>
      <c r="D342">
        <v>187.12639999999999</v>
      </c>
    </row>
    <row r="343" spans="1:4" x14ac:dyDescent="0.35">
      <c r="A343" t="s">
        <v>345</v>
      </c>
      <c r="B343">
        <v>124.7895</v>
      </c>
      <c r="C343">
        <v>244.11349999999999</v>
      </c>
      <c r="D343">
        <v>183.46199999999999</v>
      </c>
    </row>
    <row r="344" spans="1:4" x14ac:dyDescent="0.35">
      <c r="A344" t="s">
        <v>346</v>
      </c>
      <c r="B344">
        <v>125.4526</v>
      </c>
      <c r="C344">
        <v>249.32919999999999</v>
      </c>
      <c r="D344">
        <v>190.25800000000001</v>
      </c>
    </row>
    <row r="345" spans="1:4" x14ac:dyDescent="0.35">
      <c r="A345" t="s">
        <v>347</v>
      </c>
      <c r="B345">
        <v>124.2367</v>
      </c>
      <c r="C345">
        <v>251.49639999999999</v>
      </c>
      <c r="D345">
        <v>184.84100000000001</v>
      </c>
    </row>
    <row r="346" spans="1:4" x14ac:dyDescent="0.35">
      <c r="A346" t="s">
        <v>348</v>
      </c>
      <c r="B346">
        <v>123.121</v>
      </c>
      <c r="C346">
        <v>251.6078</v>
      </c>
      <c r="D346">
        <v>182.38390000000001</v>
      </c>
    </row>
    <row r="347" spans="1:4" x14ac:dyDescent="0.35">
      <c r="A347" t="s">
        <v>349</v>
      </c>
      <c r="B347">
        <v>123.7433</v>
      </c>
      <c r="C347">
        <v>246.77610000000001</v>
      </c>
      <c r="D347">
        <v>185.03139999999999</v>
      </c>
    </row>
    <row r="348" spans="1:4" x14ac:dyDescent="0.35">
      <c r="A348" t="s">
        <v>350</v>
      </c>
      <c r="B348">
        <v>120.2589</v>
      </c>
      <c r="C348">
        <v>242.93459999999999</v>
      </c>
      <c r="D348">
        <v>189.53569999999999</v>
      </c>
    </row>
    <row r="349" spans="1:4" x14ac:dyDescent="0.35">
      <c r="A349" t="s">
        <v>351</v>
      </c>
      <c r="B349">
        <v>116.96769999999999</v>
      </c>
      <c r="C349">
        <v>241.89439999999999</v>
      </c>
      <c r="D349">
        <v>188.21430000000001</v>
      </c>
    </row>
    <row r="350" spans="1:4" x14ac:dyDescent="0.35">
      <c r="A350" t="s">
        <v>352</v>
      </c>
      <c r="B350">
        <v>115.34520000000001</v>
      </c>
      <c r="C350">
        <v>239.7619</v>
      </c>
      <c r="D350">
        <v>184.97219999999999</v>
      </c>
    </row>
    <row r="351" spans="1:4" x14ac:dyDescent="0.35">
      <c r="A351" t="s">
        <v>353</v>
      </c>
      <c r="B351">
        <v>114.8998</v>
      </c>
      <c r="C351">
        <v>239.1591</v>
      </c>
      <c r="D351">
        <v>193.1422</v>
      </c>
    </row>
    <row r="352" spans="1:4" x14ac:dyDescent="0.35">
      <c r="A352" t="s">
        <v>354</v>
      </c>
      <c r="B352">
        <v>115.6627</v>
      </c>
      <c r="C352">
        <v>239.43129999999999</v>
      </c>
      <c r="D352">
        <v>203.59729999999999</v>
      </c>
    </row>
    <row r="353" spans="1:4" x14ac:dyDescent="0.35">
      <c r="A353" t="s">
        <v>355</v>
      </c>
      <c r="B353">
        <v>119.1741</v>
      </c>
      <c r="C353">
        <v>241.41059999999999</v>
      </c>
      <c r="D353">
        <v>209.7801</v>
      </c>
    </row>
    <row r="354" spans="1:4" x14ac:dyDescent="0.35">
      <c r="A354" t="s">
        <v>356</v>
      </c>
      <c r="B354">
        <v>121.28449999999999</v>
      </c>
      <c r="C354">
        <v>241.22479999999999</v>
      </c>
      <c r="D354">
        <v>210.43340000000001</v>
      </c>
    </row>
    <row r="355" spans="1:4" x14ac:dyDescent="0.35">
      <c r="A355" t="s">
        <v>357</v>
      </c>
      <c r="B355">
        <v>120.9455</v>
      </c>
      <c r="C355">
        <v>243.0615</v>
      </c>
      <c r="D355">
        <v>205.5052</v>
      </c>
    </row>
    <row r="356" spans="1:4" x14ac:dyDescent="0.35">
      <c r="A356" t="s">
        <v>358</v>
      </c>
      <c r="B356">
        <v>120.9479</v>
      </c>
      <c r="C356">
        <v>243.36660000000001</v>
      </c>
      <c r="D356">
        <v>200.55889999999999</v>
      </c>
    </row>
    <row r="357" spans="1:4" x14ac:dyDescent="0.35">
      <c r="A357" t="s">
        <v>359</v>
      </c>
      <c r="B357">
        <v>118.59439999999999</v>
      </c>
      <c r="C357">
        <v>236.3289</v>
      </c>
      <c r="D357">
        <v>203.83959999999999</v>
      </c>
    </row>
    <row r="358" spans="1:4" x14ac:dyDescent="0.35">
      <c r="A358" t="s">
        <v>360</v>
      </c>
      <c r="B358">
        <v>118.5979</v>
      </c>
      <c r="C358">
        <v>233.08940000000001</v>
      </c>
      <c r="D358">
        <v>206.52780000000001</v>
      </c>
    </row>
    <row r="359" spans="1:4" x14ac:dyDescent="0.35">
      <c r="A359" t="s">
        <v>361</v>
      </c>
      <c r="B359">
        <v>117.9624</v>
      </c>
      <c r="C359">
        <v>232.65299999999999</v>
      </c>
      <c r="D359">
        <v>215.51560000000001</v>
      </c>
    </row>
    <row r="360" spans="1:4" x14ac:dyDescent="0.35">
      <c r="A360" t="s">
        <v>362</v>
      </c>
      <c r="B360">
        <v>118.77370000000001</v>
      </c>
      <c r="C360">
        <v>228.5352</v>
      </c>
      <c r="D360">
        <v>219.88319999999999</v>
      </c>
    </row>
    <row r="361" spans="1:4" x14ac:dyDescent="0.35">
      <c r="A361" t="s">
        <v>363</v>
      </c>
      <c r="B361">
        <v>116.8715</v>
      </c>
      <c r="C361">
        <v>230.66730000000001</v>
      </c>
      <c r="D361">
        <v>210.304</v>
      </c>
    </row>
    <row r="362" spans="1:4" x14ac:dyDescent="0.35">
      <c r="A362" t="s">
        <v>364</v>
      </c>
      <c r="B362">
        <v>118.139</v>
      </c>
      <c r="C362">
        <v>236.09289999999999</v>
      </c>
      <c r="D362">
        <v>217.1661</v>
      </c>
    </row>
    <row r="363" spans="1:4" x14ac:dyDescent="0.35">
      <c r="A363" t="s">
        <v>365</v>
      </c>
      <c r="B363">
        <v>121.86539999999999</v>
      </c>
      <c r="C363">
        <v>240.51779999999999</v>
      </c>
      <c r="D363">
        <v>210.87610000000001</v>
      </c>
    </row>
    <row r="364" spans="1:4" x14ac:dyDescent="0.35">
      <c r="A364" t="s">
        <v>366</v>
      </c>
      <c r="B364">
        <v>121.64919999999999</v>
      </c>
      <c r="C364">
        <v>239.81800000000001</v>
      </c>
      <c r="D364">
        <v>208.57560000000001</v>
      </c>
    </row>
    <row r="365" spans="1:4" x14ac:dyDescent="0.35">
      <c r="A365" t="s">
        <v>367</v>
      </c>
      <c r="B365">
        <v>122.67959999999999</v>
      </c>
      <c r="C365">
        <v>245.31139999999999</v>
      </c>
      <c r="D365">
        <v>210.2627</v>
      </c>
    </row>
    <row r="366" spans="1:4" x14ac:dyDescent="0.35">
      <c r="A366" t="s">
        <v>368</v>
      </c>
      <c r="B366">
        <v>124.4344</v>
      </c>
      <c r="C366">
        <v>245.9298</v>
      </c>
      <c r="D366">
        <v>223.35839999999999</v>
      </c>
    </row>
    <row r="367" spans="1:4" x14ac:dyDescent="0.35">
      <c r="A367" t="s">
        <v>369</v>
      </c>
      <c r="B367">
        <v>123.4893</v>
      </c>
      <c r="C367">
        <v>244.75980000000001</v>
      </c>
      <c r="D367">
        <v>245.33519999999999</v>
      </c>
    </row>
    <row r="368" spans="1:4" x14ac:dyDescent="0.35">
      <c r="A368" t="s">
        <v>370</v>
      </c>
      <c r="B368">
        <v>124.0936</v>
      </c>
      <c r="C368">
        <v>242.58779999999999</v>
      </c>
      <c r="D368">
        <v>249.97900000000001</v>
      </c>
    </row>
    <row r="369" spans="1:4" x14ac:dyDescent="0.35">
      <c r="A369" t="s">
        <v>371</v>
      </c>
      <c r="B369">
        <v>124.17449999999999</v>
      </c>
      <c r="C369">
        <v>241.5591</v>
      </c>
      <c r="D369">
        <v>248.7457</v>
      </c>
    </row>
    <row r="370" spans="1:4" x14ac:dyDescent="0.35">
      <c r="A370" t="s">
        <v>372</v>
      </c>
      <c r="B370">
        <v>124.4671</v>
      </c>
      <c r="C370">
        <v>240.22569999999999</v>
      </c>
      <c r="D370">
        <v>252.90559999999999</v>
      </c>
    </row>
    <row r="371" spans="1:4" x14ac:dyDescent="0.35">
      <c r="A371" t="s">
        <v>373</v>
      </c>
      <c r="B371">
        <v>122.6067</v>
      </c>
      <c r="C371">
        <v>240.90979999999999</v>
      </c>
      <c r="D371">
        <v>259.87380000000002</v>
      </c>
    </row>
    <row r="372" spans="1:4" x14ac:dyDescent="0.35">
      <c r="A372" t="s">
        <v>374</v>
      </c>
      <c r="B372">
        <v>122.7159</v>
      </c>
      <c r="C372">
        <v>241.56020000000001</v>
      </c>
      <c r="D372">
        <v>257.52730000000003</v>
      </c>
    </row>
    <row r="373" spans="1:4" x14ac:dyDescent="0.35">
      <c r="A373" t="s">
        <v>375</v>
      </c>
      <c r="B373">
        <v>123.99379999999999</v>
      </c>
      <c r="C373">
        <v>241.64070000000001</v>
      </c>
      <c r="D373">
        <v>271.92660000000001</v>
      </c>
    </row>
    <row r="374" spans="1:4" x14ac:dyDescent="0.35">
      <c r="A374" t="s">
        <v>376</v>
      </c>
      <c r="B374">
        <v>127.69629999999999</v>
      </c>
      <c r="C374">
        <v>243.2996</v>
      </c>
      <c r="D374">
        <v>273.9606</v>
      </c>
    </row>
    <row r="375" spans="1:4" x14ac:dyDescent="0.35">
      <c r="A375" t="s">
        <v>377</v>
      </c>
      <c r="B375">
        <v>130.22190000000001</v>
      </c>
      <c r="C375">
        <v>247.7551</v>
      </c>
      <c r="D375">
        <v>278.23520000000002</v>
      </c>
    </row>
    <row r="376" spans="1:4" x14ac:dyDescent="0.35">
      <c r="A376" t="s">
        <v>378</v>
      </c>
      <c r="B376">
        <v>136.00659999999999</v>
      </c>
      <c r="C376">
        <v>251.38149999999999</v>
      </c>
      <c r="D376">
        <v>284.00569999999999</v>
      </c>
    </row>
    <row r="377" spans="1:4" x14ac:dyDescent="0.35">
      <c r="A377" t="s">
        <v>379</v>
      </c>
      <c r="B377">
        <v>133.9889</v>
      </c>
      <c r="C377">
        <v>245.91489999999999</v>
      </c>
      <c r="D377">
        <v>287.77879999999999</v>
      </c>
    </row>
    <row r="378" spans="1:4" x14ac:dyDescent="0.35">
      <c r="A378" t="s">
        <v>380</v>
      </c>
      <c r="B378">
        <v>136.4015</v>
      </c>
      <c r="C378">
        <v>236.74039999999999</v>
      </c>
      <c r="D378">
        <v>295.27589999999998</v>
      </c>
    </row>
    <row r="379" spans="1:4" x14ac:dyDescent="0.35">
      <c r="A379" t="s">
        <v>381</v>
      </c>
      <c r="B379">
        <v>136.95740000000001</v>
      </c>
      <c r="C379">
        <v>240.1507</v>
      </c>
      <c r="D379">
        <v>290.0179</v>
      </c>
    </row>
    <row r="380" spans="1:4" x14ac:dyDescent="0.35">
      <c r="A380" t="s">
        <v>382</v>
      </c>
      <c r="B380">
        <v>143.14609999999999</v>
      </c>
      <c r="C380">
        <v>235.34460000000001</v>
      </c>
      <c r="D380">
        <v>285.35770000000002</v>
      </c>
    </row>
    <row r="381" spans="1:4" x14ac:dyDescent="0.35">
      <c r="A381" t="s">
        <v>383</v>
      </c>
      <c r="B381">
        <v>140.90700000000001</v>
      </c>
      <c r="C381">
        <v>234.62</v>
      </c>
      <c r="D381">
        <v>276.24520000000001</v>
      </c>
    </row>
    <row r="382" spans="1:4" x14ac:dyDescent="0.35">
      <c r="A382" t="s">
        <v>384</v>
      </c>
      <c r="B382">
        <v>138.6157</v>
      </c>
      <c r="C382">
        <v>230.60419999999999</v>
      </c>
      <c r="D382">
        <v>280.06560000000002</v>
      </c>
    </row>
    <row r="383" spans="1:4" x14ac:dyDescent="0.35">
      <c r="A383" t="s">
        <v>385</v>
      </c>
      <c r="B383">
        <v>137.0187</v>
      </c>
      <c r="C383">
        <v>224.51910000000001</v>
      </c>
      <c r="D383">
        <v>286.84500000000003</v>
      </c>
    </row>
    <row r="384" spans="1:4" x14ac:dyDescent="0.35">
      <c r="A384" t="s">
        <v>386</v>
      </c>
      <c r="B384">
        <v>131.37289999999999</v>
      </c>
      <c r="C384">
        <v>226.4151</v>
      </c>
      <c r="D384">
        <v>290.97149999999999</v>
      </c>
    </row>
    <row r="385" spans="1:4" x14ac:dyDescent="0.35">
      <c r="A385" t="s">
        <v>387</v>
      </c>
      <c r="B385">
        <v>130.05070000000001</v>
      </c>
      <c r="C385">
        <v>229.07390000000001</v>
      </c>
      <c r="D385">
        <v>306.13010000000003</v>
      </c>
    </row>
    <row r="386" spans="1:4" x14ac:dyDescent="0.35">
      <c r="A386" t="s">
        <v>388</v>
      </c>
      <c r="B386">
        <v>128.14240000000001</v>
      </c>
      <c r="C386">
        <v>227.16679999999999</v>
      </c>
      <c r="D386">
        <v>306.24709999999999</v>
      </c>
    </row>
    <row r="387" spans="1:4" x14ac:dyDescent="0.35">
      <c r="A387" t="s">
        <v>389</v>
      </c>
      <c r="B387">
        <v>128.57980000000001</v>
      </c>
      <c r="C387">
        <v>218.57</v>
      </c>
      <c r="D387">
        <v>312.625</v>
      </c>
    </row>
    <row r="388" spans="1:4" x14ac:dyDescent="0.35">
      <c r="A388" t="s">
        <v>390</v>
      </c>
      <c r="B388">
        <v>129.51349999999999</v>
      </c>
      <c r="C388">
        <v>216.84880000000001</v>
      </c>
      <c r="D388">
        <v>302.71850000000001</v>
      </c>
    </row>
    <row r="389" spans="1:4" x14ac:dyDescent="0.35">
      <c r="A389" t="s">
        <v>391</v>
      </c>
      <c r="B389">
        <v>134.51939999999999</v>
      </c>
      <c r="C389">
        <v>218.18969999999999</v>
      </c>
      <c r="D389">
        <v>299.38799999999998</v>
      </c>
    </row>
    <row r="390" spans="1:4" x14ac:dyDescent="0.35">
      <c r="A390" t="s">
        <v>392</v>
      </c>
      <c r="B390">
        <v>137.1557</v>
      </c>
      <c r="C390">
        <v>213.4641</v>
      </c>
      <c r="D390">
        <v>305.8689</v>
      </c>
    </row>
    <row r="391" spans="1:4" x14ac:dyDescent="0.35">
      <c r="A391" t="s">
        <v>393</v>
      </c>
      <c r="B391">
        <v>135.63659999999999</v>
      </c>
      <c r="C391">
        <v>214.11359999999999</v>
      </c>
      <c r="D391">
        <v>313.93299999999999</v>
      </c>
    </row>
    <row r="392" spans="1:4" x14ac:dyDescent="0.35">
      <c r="A392" t="s">
        <v>394</v>
      </c>
      <c r="B392">
        <v>133.27449999999999</v>
      </c>
      <c r="C392">
        <v>214.126</v>
      </c>
      <c r="D392">
        <v>311.34780000000001</v>
      </c>
    </row>
    <row r="393" spans="1:4" x14ac:dyDescent="0.35">
      <c r="A393" t="s">
        <v>395</v>
      </c>
      <c r="B393">
        <v>134.64599999999999</v>
      </c>
      <c r="C393">
        <v>216.05680000000001</v>
      </c>
      <c r="D393">
        <v>310.85070000000002</v>
      </c>
    </row>
    <row r="394" spans="1:4" x14ac:dyDescent="0.35">
      <c r="A394" t="s">
        <v>396</v>
      </c>
      <c r="B394">
        <v>131.18969999999999</v>
      </c>
      <c r="C394">
        <v>216.5069</v>
      </c>
      <c r="D394">
        <v>297.17649999999998</v>
      </c>
    </row>
    <row r="395" spans="1:4" x14ac:dyDescent="0.35">
      <c r="A395" t="s">
        <v>397</v>
      </c>
      <c r="B395">
        <v>136.1386</v>
      </c>
      <c r="C395">
        <v>213.43109999999999</v>
      </c>
      <c r="D395">
        <v>294.17230000000001</v>
      </c>
    </row>
    <row r="396" spans="1:4" x14ac:dyDescent="0.35">
      <c r="A396" t="s">
        <v>398</v>
      </c>
      <c r="B396">
        <v>139.44390000000001</v>
      </c>
      <c r="C396">
        <v>217.35900000000001</v>
      </c>
      <c r="D396">
        <v>302.3021</v>
      </c>
    </row>
    <row r="397" spans="1:4" x14ac:dyDescent="0.35">
      <c r="A397" t="s">
        <v>399</v>
      </c>
      <c r="B397">
        <v>138.1968</v>
      </c>
      <c r="C397">
        <v>216.905</v>
      </c>
      <c r="D397">
        <v>307.73320000000001</v>
      </c>
    </row>
    <row r="398" spans="1:4" x14ac:dyDescent="0.35">
      <c r="A398" t="s">
        <v>400</v>
      </c>
      <c r="B398">
        <v>133.59540000000001</v>
      </c>
      <c r="C398">
        <v>216.87860000000001</v>
      </c>
      <c r="D398">
        <v>312.56209999999999</v>
      </c>
    </row>
    <row r="399" spans="1:4" x14ac:dyDescent="0.35">
      <c r="A399" t="s">
        <v>401</v>
      </c>
      <c r="B399">
        <v>137.31720000000001</v>
      </c>
      <c r="C399">
        <v>213.92509999999999</v>
      </c>
      <c r="D399">
        <v>313.20139999999998</v>
      </c>
    </row>
    <row r="400" spans="1:4" x14ac:dyDescent="0.35">
      <c r="A400" t="s">
        <v>402</v>
      </c>
      <c r="B400">
        <v>137.05779999999999</v>
      </c>
      <c r="C400">
        <v>212.5685</v>
      </c>
      <c r="D400">
        <v>313.44009999999997</v>
      </c>
    </row>
    <row r="401" spans="1:4" x14ac:dyDescent="0.35">
      <c r="A401" t="s">
        <v>403</v>
      </c>
      <c r="B401">
        <v>140.54939999999999</v>
      </c>
      <c r="C401">
        <v>209.8263</v>
      </c>
      <c r="D401">
        <v>307.46109999999999</v>
      </c>
    </row>
    <row r="402" spans="1:4" x14ac:dyDescent="0.35">
      <c r="A402" t="s">
        <v>404</v>
      </c>
      <c r="B402">
        <v>136.1927</v>
      </c>
      <c r="C402">
        <v>209.34280000000001</v>
      </c>
      <c r="D402">
        <v>314.14780000000002</v>
      </c>
    </row>
    <row r="403" spans="1:4" x14ac:dyDescent="0.35">
      <c r="A403" t="s">
        <v>405</v>
      </c>
      <c r="B403">
        <v>134.62360000000001</v>
      </c>
      <c r="C403">
        <v>214.8492</v>
      </c>
      <c r="D403">
        <v>318.31540000000001</v>
      </c>
    </row>
    <row r="404" spans="1:4" x14ac:dyDescent="0.35">
      <c r="A404" t="s">
        <v>406</v>
      </c>
      <c r="B404">
        <v>134.69159999999999</v>
      </c>
      <c r="C404">
        <v>210.53360000000001</v>
      </c>
      <c r="D404">
        <v>323.22649999999999</v>
      </c>
    </row>
    <row r="405" spans="1:4" x14ac:dyDescent="0.35">
      <c r="A405" t="s">
        <v>407</v>
      </c>
      <c r="B405">
        <v>134.87219999999999</v>
      </c>
      <c r="C405">
        <v>205.5582</v>
      </c>
      <c r="D405">
        <v>318.34070000000003</v>
      </c>
    </row>
    <row r="406" spans="1:4" x14ac:dyDescent="0.35">
      <c r="A406" t="s">
        <v>408</v>
      </c>
      <c r="B406">
        <v>133.71709999999999</v>
      </c>
      <c r="C406">
        <v>210.20519999999999</v>
      </c>
      <c r="D406">
        <v>298.59010000000001</v>
      </c>
    </row>
    <row r="407" spans="1:4" x14ac:dyDescent="0.35">
      <c r="A407" t="s">
        <v>409</v>
      </c>
      <c r="B407">
        <v>135.44739999999999</v>
      </c>
      <c r="C407">
        <v>209.60650000000001</v>
      </c>
      <c r="D407">
        <v>308.75139999999999</v>
      </c>
    </row>
    <row r="408" spans="1:4" x14ac:dyDescent="0.35">
      <c r="A408" t="s">
        <v>410</v>
      </c>
      <c r="B408">
        <v>132.63900000000001</v>
      </c>
      <c r="C408">
        <v>207.57310000000001</v>
      </c>
      <c r="D408">
        <v>304.51530000000002</v>
      </c>
    </row>
    <row r="409" spans="1:4" x14ac:dyDescent="0.35">
      <c r="A409" t="s">
        <v>411</v>
      </c>
      <c r="B409">
        <v>132.31469999999999</v>
      </c>
      <c r="C409">
        <v>210.89689999999999</v>
      </c>
      <c r="D409">
        <v>296.89780000000002</v>
      </c>
    </row>
    <row r="410" spans="1:4" x14ac:dyDescent="0.35">
      <c r="A410" t="s">
        <v>412</v>
      </c>
      <c r="B410">
        <v>132.6865</v>
      </c>
      <c r="C410">
        <v>209.04990000000001</v>
      </c>
      <c r="D410">
        <v>303.30610000000001</v>
      </c>
    </row>
    <row r="411" spans="1:4" x14ac:dyDescent="0.35">
      <c r="A411" t="s">
        <v>413</v>
      </c>
      <c r="B411">
        <v>134.11240000000001</v>
      </c>
      <c r="C411">
        <v>214.91669999999999</v>
      </c>
      <c r="D411">
        <v>299.92489999999998</v>
      </c>
    </row>
    <row r="412" spans="1:4" x14ac:dyDescent="0.35">
      <c r="A412" t="s">
        <v>414</v>
      </c>
      <c r="B412">
        <v>136.0891</v>
      </c>
      <c r="C412">
        <v>217.17570000000001</v>
      </c>
      <c r="D412">
        <v>309.78550000000001</v>
      </c>
    </row>
    <row r="413" spans="1:4" x14ac:dyDescent="0.35">
      <c r="A413" t="s">
        <v>415</v>
      </c>
      <c r="B413">
        <v>133.1155</v>
      </c>
      <c r="C413">
        <v>215.6541</v>
      </c>
      <c r="D413">
        <v>315.74669999999998</v>
      </c>
    </row>
    <row r="414" spans="1:4" x14ac:dyDescent="0.35">
      <c r="A414" t="s">
        <v>416</v>
      </c>
      <c r="B414">
        <v>129.14490000000001</v>
      </c>
      <c r="C414">
        <v>222.8108</v>
      </c>
      <c r="D414">
        <v>322.46589999999998</v>
      </c>
    </row>
    <row r="415" spans="1:4" x14ac:dyDescent="0.35">
      <c r="A415" t="s">
        <v>417</v>
      </c>
      <c r="B415">
        <v>132.54050000000001</v>
      </c>
      <c r="C415">
        <v>220.85900000000001</v>
      </c>
      <c r="D415">
        <v>309.68900000000002</v>
      </c>
    </row>
    <row r="416" spans="1:4" x14ac:dyDescent="0.35">
      <c r="A416" t="s">
        <v>418</v>
      </c>
      <c r="B416">
        <v>133.4778</v>
      </c>
      <c r="C416">
        <v>223.3954</v>
      </c>
      <c r="D416">
        <v>321.33269999999999</v>
      </c>
    </row>
    <row r="417" spans="1:4" x14ac:dyDescent="0.35">
      <c r="A417" t="s">
        <v>419</v>
      </c>
      <c r="B417">
        <v>131.5471</v>
      </c>
      <c r="C417">
        <v>224.46510000000001</v>
      </c>
      <c r="D417">
        <v>324.03919999999999</v>
      </c>
    </row>
    <row r="418" spans="1:4" x14ac:dyDescent="0.35">
      <c r="A418" t="s">
        <v>420</v>
      </c>
      <c r="B418">
        <v>135.74639999999999</v>
      </c>
      <c r="C418">
        <v>228.95689999999999</v>
      </c>
      <c r="D418">
        <v>320.64550000000003</v>
      </c>
    </row>
    <row r="419" spans="1:4" x14ac:dyDescent="0.35">
      <c r="A419" t="s">
        <v>421</v>
      </c>
      <c r="B419">
        <v>136.11519999999999</v>
      </c>
      <c r="C419">
        <v>234.4504</v>
      </c>
      <c r="D419">
        <v>322.20499999999998</v>
      </c>
    </row>
    <row r="420" spans="1:4" x14ac:dyDescent="0.35">
      <c r="A420" t="s">
        <v>422</v>
      </c>
      <c r="B420">
        <v>139.4195</v>
      </c>
      <c r="C420">
        <v>234.63040000000001</v>
      </c>
      <c r="D420">
        <v>305.65309999999999</v>
      </c>
    </row>
    <row r="421" spans="1:4" x14ac:dyDescent="0.35">
      <c r="A421" t="s">
        <v>423</v>
      </c>
      <c r="B421">
        <v>139.66380000000001</v>
      </c>
      <c r="C421">
        <v>232.06049999999999</v>
      </c>
      <c r="D421">
        <v>309.59359999999998</v>
      </c>
    </row>
    <row r="422" spans="1:4" x14ac:dyDescent="0.35">
      <c r="A422" t="s">
        <v>424</v>
      </c>
      <c r="B422">
        <v>145.5985</v>
      </c>
      <c r="C422">
        <v>233.73429999999999</v>
      </c>
      <c r="D422">
        <v>300.3442</v>
      </c>
    </row>
    <row r="423" spans="1:4" x14ac:dyDescent="0.35">
      <c r="A423" t="s">
        <v>425</v>
      </c>
      <c r="B423">
        <v>150.86109999999999</v>
      </c>
      <c r="C423">
        <v>231.43680000000001</v>
      </c>
      <c r="D423">
        <v>288.55889999999999</v>
      </c>
    </row>
    <row r="424" spans="1:4" x14ac:dyDescent="0.35">
      <c r="A424" t="s">
        <v>426</v>
      </c>
      <c r="B424">
        <v>150.17189999999999</v>
      </c>
      <c r="C424">
        <v>238.60159999999999</v>
      </c>
      <c r="D424">
        <v>275.82830000000001</v>
      </c>
    </row>
    <row r="425" spans="1:4" x14ac:dyDescent="0.35">
      <c r="A425" t="s">
        <v>427</v>
      </c>
      <c r="B425">
        <v>153.1797</v>
      </c>
      <c r="C425">
        <v>239.15950000000001</v>
      </c>
      <c r="D425">
        <v>285.34789999999998</v>
      </c>
    </row>
    <row r="426" spans="1:4" x14ac:dyDescent="0.35">
      <c r="A426" t="s">
        <v>428</v>
      </c>
      <c r="B426">
        <v>155.23179999999999</v>
      </c>
      <c r="C426">
        <v>237.92089999999999</v>
      </c>
      <c r="D426">
        <v>280.16570000000002</v>
      </c>
    </row>
    <row r="427" spans="1:4" x14ac:dyDescent="0.35">
      <c r="A427" t="s">
        <v>429</v>
      </c>
      <c r="B427">
        <v>159.60339999999999</v>
      </c>
      <c r="C427">
        <v>238.64949999999999</v>
      </c>
      <c r="D427">
        <v>293.51920000000001</v>
      </c>
    </row>
    <row r="428" spans="1:4" x14ac:dyDescent="0.35">
      <c r="A428" t="s">
        <v>430</v>
      </c>
      <c r="B428">
        <v>156.6155</v>
      </c>
      <c r="C428">
        <v>233.94280000000001</v>
      </c>
      <c r="D428">
        <v>288.99779999999998</v>
      </c>
    </row>
    <row r="429" spans="1:4" x14ac:dyDescent="0.35">
      <c r="A429" t="s">
        <v>431</v>
      </c>
      <c r="B429">
        <v>158.84270000000001</v>
      </c>
      <c r="C429">
        <v>230.62430000000001</v>
      </c>
      <c r="D429">
        <v>274.71879999999999</v>
      </c>
    </row>
    <row r="430" spans="1:4" x14ac:dyDescent="0.35">
      <c r="A430" t="s">
        <v>432</v>
      </c>
      <c r="B430">
        <v>162.30590000000001</v>
      </c>
      <c r="C430">
        <v>234.88210000000001</v>
      </c>
      <c r="D430">
        <v>265.81549999999999</v>
      </c>
    </row>
    <row r="431" spans="1:4" x14ac:dyDescent="0.35">
      <c r="A431" t="s">
        <v>433</v>
      </c>
      <c r="B431">
        <v>156.75880000000001</v>
      </c>
      <c r="C431">
        <v>232.64590000000001</v>
      </c>
      <c r="D431">
        <v>276.00720000000001</v>
      </c>
    </row>
    <row r="432" spans="1:4" x14ac:dyDescent="0.35">
      <c r="A432" t="s">
        <v>434</v>
      </c>
      <c r="B432">
        <v>153.15389999999999</v>
      </c>
      <c r="C432">
        <v>229.08690000000001</v>
      </c>
      <c r="D432">
        <v>274.87040000000002</v>
      </c>
    </row>
    <row r="433" spans="1:4" x14ac:dyDescent="0.35">
      <c r="A433" t="s">
        <v>435</v>
      </c>
      <c r="B433">
        <v>147.09200000000001</v>
      </c>
      <c r="C433">
        <v>231.00489999999999</v>
      </c>
      <c r="D433">
        <v>270.53489999999999</v>
      </c>
    </row>
    <row r="434" spans="1:4" x14ac:dyDescent="0.35">
      <c r="A434" t="s">
        <v>436</v>
      </c>
      <c r="B434">
        <v>146.36009999999999</v>
      </c>
      <c r="C434">
        <v>235.21780000000001</v>
      </c>
      <c r="D434">
        <v>271.98630000000003</v>
      </c>
    </row>
    <row r="435" spans="1:4" x14ac:dyDescent="0.35">
      <c r="A435" t="s">
        <v>437</v>
      </c>
      <c r="B435">
        <v>148.5351</v>
      </c>
      <c r="C435">
        <v>237.8366</v>
      </c>
      <c r="D435">
        <v>276.26350000000002</v>
      </c>
    </row>
    <row r="436" spans="1:4" x14ac:dyDescent="0.35">
      <c r="A436" t="s">
        <v>438</v>
      </c>
      <c r="B436">
        <v>153.12710000000001</v>
      </c>
      <c r="C436">
        <v>241.48609999999999</v>
      </c>
      <c r="D436">
        <v>285.83859999999999</v>
      </c>
    </row>
    <row r="437" spans="1:4" x14ac:dyDescent="0.35">
      <c r="A437" t="s">
        <v>439</v>
      </c>
      <c r="B437">
        <v>153.41550000000001</v>
      </c>
      <c r="C437">
        <v>238.8289</v>
      </c>
      <c r="D437">
        <v>298.69779999999997</v>
      </c>
    </row>
    <row r="438" spans="1:4" x14ac:dyDescent="0.35">
      <c r="A438" t="s">
        <v>440</v>
      </c>
      <c r="B438">
        <v>158.5583</v>
      </c>
      <c r="C438">
        <v>233.85650000000001</v>
      </c>
      <c r="D438">
        <v>295.65379999999999</v>
      </c>
    </row>
    <row r="439" spans="1:4" x14ac:dyDescent="0.35">
      <c r="A439" t="s">
        <v>441</v>
      </c>
      <c r="B439">
        <v>154.30340000000001</v>
      </c>
      <c r="C439">
        <v>239.25149999999999</v>
      </c>
      <c r="D439">
        <v>284.27940000000001</v>
      </c>
    </row>
    <row r="440" spans="1:4" x14ac:dyDescent="0.35">
      <c r="A440" t="s">
        <v>442</v>
      </c>
      <c r="B440">
        <v>149.19479999999999</v>
      </c>
      <c r="C440">
        <v>238.16470000000001</v>
      </c>
      <c r="D440">
        <v>280.92950000000002</v>
      </c>
    </row>
    <row r="441" spans="1:4" x14ac:dyDescent="0.35">
      <c r="A441" t="s">
        <v>443</v>
      </c>
      <c r="B441">
        <v>149.08879999999999</v>
      </c>
      <c r="C441">
        <v>237.33860000000001</v>
      </c>
      <c r="D441">
        <v>283.28750000000002</v>
      </c>
    </row>
    <row r="442" spans="1:4" x14ac:dyDescent="0.35">
      <c r="A442" t="s">
        <v>444</v>
      </c>
      <c r="B442">
        <v>150.29849999999999</v>
      </c>
      <c r="C442">
        <v>242.1841</v>
      </c>
      <c r="D442">
        <v>275.3655</v>
      </c>
    </row>
    <row r="443" spans="1:4" x14ac:dyDescent="0.35">
      <c r="A443" t="s">
        <v>445</v>
      </c>
      <c r="B443">
        <v>150.2603</v>
      </c>
      <c r="C443">
        <v>244.2834</v>
      </c>
      <c r="D443">
        <v>267.71820000000002</v>
      </c>
    </row>
    <row r="444" spans="1:4" x14ac:dyDescent="0.35">
      <c r="A444" t="s">
        <v>446</v>
      </c>
      <c r="B444">
        <v>144.23159999999999</v>
      </c>
      <c r="C444">
        <v>246.03030000000001</v>
      </c>
      <c r="D444">
        <v>270.64240000000001</v>
      </c>
    </row>
    <row r="445" spans="1:4" x14ac:dyDescent="0.35">
      <c r="A445" t="s">
        <v>447</v>
      </c>
      <c r="B445">
        <v>144.0324</v>
      </c>
      <c r="C445">
        <v>254.2244</v>
      </c>
      <c r="D445">
        <v>270.39640000000003</v>
      </c>
    </row>
    <row r="446" spans="1:4" x14ac:dyDescent="0.35">
      <c r="A446" t="s">
        <v>448</v>
      </c>
      <c r="B446">
        <v>140.3794</v>
      </c>
      <c r="C446">
        <v>251.8546</v>
      </c>
      <c r="D446">
        <v>270.81150000000002</v>
      </c>
    </row>
    <row r="447" spans="1:4" x14ac:dyDescent="0.35">
      <c r="A447" t="s">
        <v>449</v>
      </c>
      <c r="B447">
        <v>142.32910000000001</v>
      </c>
      <c r="C447">
        <v>255.45779999999999</v>
      </c>
      <c r="D447">
        <v>264.86439999999999</v>
      </c>
    </row>
    <row r="448" spans="1:4" x14ac:dyDescent="0.35">
      <c r="A448" t="s">
        <v>450</v>
      </c>
      <c r="B448">
        <v>143.43389999999999</v>
      </c>
      <c r="C448">
        <v>255.7499</v>
      </c>
      <c r="D448">
        <v>263.18470000000002</v>
      </c>
    </row>
    <row r="449" spans="1:4" x14ac:dyDescent="0.35">
      <c r="A449" t="s">
        <v>451</v>
      </c>
      <c r="B449">
        <v>140.8192</v>
      </c>
      <c r="C449">
        <v>256.8562</v>
      </c>
      <c r="D449">
        <v>256.1284</v>
      </c>
    </row>
    <row r="450" spans="1:4" x14ac:dyDescent="0.35">
      <c r="A450" t="s">
        <v>452</v>
      </c>
      <c r="B450">
        <v>139.43510000000001</v>
      </c>
      <c r="C450">
        <v>262.88869999999997</v>
      </c>
      <c r="D450">
        <v>263.20549999999997</v>
      </c>
    </row>
    <row r="451" spans="1:4" x14ac:dyDescent="0.35">
      <c r="A451" t="s">
        <v>453</v>
      </c>
      <c r="B451">
        <v>136.5669</v>
      </c>
      <c r="C451">
        <v>264.9751</v>
      </c>
      <c r="D451">
        <v>271.6576</v>
      </c>
    </row>
    <row r="452" spans="1:4" x14ac:dyDescent="0.35">
      <c r="A452" t="s">
        <v>454</v>
      </c>
      <c r="B452">
        <v>136.4504</v>
      </c>
      <c r="C452">
        <v>267.20010000000002</v>
      </c>
      <c r="D452">
        <v>257.16210000000001</v>
      </c>
    </row>
    <row r="453" spans="1:4" x14ac:dyDescent="0.35">
      <c r="A453" t="s">
        <v>455</v>
      </c>
      <c r="B453">
        <v>139.1377</v>
      </c>
      <c r="C453">
        <v>271.61149999999998</v>
      </c>
      <c r="D453">
        <v>250.2277</v>
      </c>
    </row>
    <row r="454" spans="1:4" x14ac:dyDescent="0.35">
      <c r="A454" t="s">
        <v>456</v>
      </c>
      <c r="B454">
        <v>136.4761</v>
      </c>
      <c r="C454">
        <v>270.20639999999997</v>
      </c>
      <c r="D454">
        <v>239.37360000000001</v>
      </c>
    </row>
    <row r="455" spans="1:4" x14ac:dyDescent="0.35">
      <c r="A455" t="s">
        <v>457</v>
      </c>
      <c r="B455">
        <v>137.91399999999999</v>
      </c>
      <c r="C455">
        <v>266.90300000000002</v>
      </c>
      <c r="D455">
        <v>234.88</v>
      </c>
    </row>
    <row r="456" spans="1:4" x14ac:dyDescent="0.35">
      <c r="A456" t="s">
        <v>458</v>
      </c>
      <c r="B456">
        <v>136.5138</v>
      </c>
      <c r="C456">
        <v>262.82830000000001</v>
      </c>
      <c r="D456">
        <v>234.42169999999999</v>
      </c>
    </row>
    <row r="457" spans="1:4" x14ac:dyDescent="0.35">
      <c r="A457" t="s">
        <v>459</v>
      </c>
      <c r="B457">
        <v>134.41980000000001</v>
      </c>
      <c r="C457">
        <v>255.26259999999999</v>
      </c>
      <c r="D457">
        <v>224.56890000000001</v>
      </c>
    </row>
    <row r="458" spans="1:4" x14ac:dyDescent="0.35">
      <c r="A458" t="s">
        <v>460</v>
      </c>
      <c r="B458">
        <v>134.18610000000001</v>
      </c>
      <c r="C458">
        <v>263.33409999999998</v>
      </c>
      <c r="D458">
        <v>218.5635</v>
      </c>
    </row>
    <row r="459" spans="1:4" x14ac:dyDescent="0.35">
      <c r="A459" t="s">
        <v>461</v>
      </c>
      <c r="B459">
        <v>131.4889</v>
      </c>
      <c r="C459">
        <v>259.08670000000001</v>
      </c>
      <c r="D459">
        <v>212.19550000000001</v>
      </c>
    </row>
    <row r="460" spans="1:4" x14ac:dyDescent="0.35">
      <c r="A460" t="s">
        <v>462</v>
      </c>
      <c r="B460">
        <v>130.09299999999999</v>
      </c>
      <c r="C460">
        <v>258.30259999999998</v>
      </c>
      <c r="D460">
        <v>213.63650000000001</v>
      </c>
    </row>
    <row r="461" spans="1:4" x14ac:dyDescent="0.35">
      <c r="A461" t="s">
        <v>463</v>
      </c>
      <c r="B461">
        <v>127.0641</v>
      </c>
      <c r="C461">
        <v>257.30619999999999</v>
      </c>
      <c r="D461">
        <v>214.19919999999999</v>
      </c>
    </row>
    <row r="462" spans="1:4" x14ac:dyDescent="0.35">
      <c r="A462" t="s">
        <v>464</v>
      </c>
      <c r="B462">
        <v>132.20930000000001</v>
      </c>
      <c r="C462">
        <v>258.56979999999999</v>
      </c>
      <c r="D462">
        <v>209.72649999999999</v>
      </c>
    </row>
    <row r="463" spans="1:4" x14ac:dyDescent="0.35">
      <c r="A463" t="s">
        <v>465</v>
      </c>
      <c r="B463">
        <v>132.35550000000001</v>
      </c>
      <c r="C463">
        <v>261.82830000000001</v>
      </c>
      <c r="D463">
        <v>210.9579</v>
      </c>
    </row>
    <row r="464" spans="1:4" x14ac:dyDescent="0.35">
      <c r="A464" t="s">
        <v>466</v>
      </c>
      <c r="B464">
        <v>130.5684</v>
      </c>
      <c r="C464">
        <v>265.30590000000001</v>
      </c>
      <c r="D464">
        <v>207.6405</v>
      </c>
    </row>
    <row r="465" spans="1:4" x14ac:dyDescent="0.35">
      <c r="A465" t="s">
        <v>467</v>
      </c>
      <c r="B465">
        <v>131.1808</v>
      </c>
      <c r="C465">
        <v>263.07130000000001</v>
      </c>
      <c r="D465">
        <v>206.0685</v>
      </c>
    </row>
    <row r="466" spans="1:4" x14ac:dyDescent="0.35">
      <c r="A466" t="s">
        <v>468</v>
      </c>
      <c r="B466">
        <v>130.93879999999999</v>
      </c>
      <c r="C466">
        <v>262.48809999999997</v>
      </c>
      <c r="D466">
        <v>216.7972</v>
      </c>
    </row>
    <row r="467" spans="1:4" x14ac:dyDescent="0.35">
      <c r="A467" t="s">
        <v>469</v>
      </c>
      <c r="B467">
        <v>130.4136</v>
      </c>
      <c r="C467">
        <v>263.6789</v>
      </c>
      <c r="D467">
        <v>225.81720000000001</v>
      </c>
    </row>
    <row r="468" spans="1:4" x14ac:dyDescent="0.35">
      <c r="A468" t="s">
        <v>470</v>
      </c>
      <c r="B468">
        <v>132.07820000000001</v>
      </c>
      <c r="C468">
        <v>262.77260000000001</v>
      </c>
      <c r="D468">
        <v>217.3021</v>
      </c>
    </row>
    <row r="469" spans="1:4" x14ac:dyDescent="0.35">
      <c r="A469" t="s">
        <v>471</v>
      </c>
      <c r="B469">
        <v>134.1481</v>
      </c>
      <c r="C469">
        <v>269.26249999999999</v>
      </c>
      <c r="D469">
        <v>222.9016</v>
      </c>
    </row>
    <row r="470" spans="1:4" x14ac:dyDescent="0.35">
      <c r="A470" t="s">
        <v>472</v>
      </c>
      <c r="B470">
        <v>132.78540000000001</v>
      </c>
      <c r="C470">
        <v>271.33080000000001</v>
      </c>
      <c r="D470">
        <v>228.5197</v>
      </c>
    </row>
    <row r="471" spans="1:4" x14ac:dyDescent="0.35">
      <c r="A471" t="s">
        <v>473</v>
      </c>
      <c r="B471">
        <v>131.3175</v>
      </c>
      <c r="C471">
        <v>274.41719999999998</v>
      </c>
      <c r="D471">
        <v>220.9032</v>
      </c>
    </row>
    <row r="472" spans="1:4" x14ac:dyDescent="0.35">
      <c r="A472" t="s">
        <v>474</v>
      </c>
      <c r="B472">
        <v>130.64930000000001</v>
      </c>
      <c r="C472">
        <v>277.23910000000001</v>
      </c>
      <c r="D472">
        <v>226.52109999999999</v>
      </c>
    </row>
    <row r="473" spans="1:4" x14ac:dyDescent="0.35">
      <c r="A473" t="s">
        <v>475</v>
      </c>
      <c r="B473">
        <v>124.8207</v>
      </c>
      <c r="C473">
        <v>282.24340000000001</v>
      </c>
      <c r="D473">
        <v>237.3476</v>
      </c>
    </row>
    <row r="474" spans="1:4" x14ac:dyDescent="0.35">
      <c r="A474" t="s">
        <v>476</v>
      </c>
      <c r="B474">
        <v>121.1434</v>
      </c>
      <c r="C474">
        <v>283.09219999999999</v>
      </c>
      <c r="D474">
        <v>229.614</v>
      </c>
    </row>
    <row r="475" spans="1:4" x14ac:dyDescent="0.35">
      <c r="A475" t="s">
        <v>477</v>
      </c>
      <c r="B475">
        <v>124.5506</v>
      </c>
      <c r="C475">
        <v>277.71839999999997</v>
      </c>
      <c r="D475">
        <v>223.50290000000001</v>
      </c>
    </row>
    <row r="476" spans="1:4" x14ac:dyDescent="0.35">
      <c r="A476" t="s">
        <v>478</v>
      </c>
      <c r="B476">
        <v>128.7679</v>
      </c>
      <c r="C476">
        <v>279.46879999999999</v>
      </c>
      <c r="D476">
        <v>230.55840000000001</v>
      </c>
    </row>
    <row r="477" spans="1:4" x14ac:dyDescent="0.35">
      <c r="A477" t="s">
        <v>479</v>
      </c>
      <c r="B477">
        <v>128.17939999999999</v>
      </c>
      <c r="C477">
        <v>276.83109999999999</v>
      </c>
      <c r="D477">
        <v>232.5718</v>
      </c>
    </row>
    <row r="478" spans="1:4" x14ac:dyDescent="0.35">
      <c r="A478" t="s">
        <v>480</v>
      </c>
      <c r="B478">
        <v>129.71789999999999</v>
      </c>
      <c r="C478">
        <v>274.72370000000001</v>
      </c>
      <c r="D478">
        <v>236.58170000000001</v>
      </c>
    </row>
    <row r="479" spans="1:4" x14ac:dyDescent="0.35">
      <c r="A479" t="s">
        <v>481</v>
      </c>
      <c r="B479">
        <v>130.58009999999999</v>
      </c>
      <c r="C479">
        <v>277.23039999999997</v>
      </c>
      <c r="D479">
        <v>239.1429</v>
      </c>
    </row>
    <row r="480" spans="1:4" x14ac:dyDescent="0.35">
      <c r="A480" t="s">
        <v>482</v>
      </c>
      <c r="B480">
        <v>138.92920000000001</v>
      </c>
      <c r="C480">
        <v>282.50909999999999</v>
      </c>
      <c r="D480">
        <v>242.09540000000001</v>
      </c>
    </row>
    <row r="481" spans="1:4" x14ac:dyDescent="0.35">
      <c r="A481" t="s">
        <v>483</v>
      </c>
      <c r="B481">
        <v>142.13200000000001</v>
      </c>
      <c r="C481">
        <v>282.68049999999999</v>
      </c>
      <c r="D481">
        <v>232.77860000000001</v>
      </c>
    </row>
    <row r="482" spans="1:4" x14ac:dyDescent="0.35">
      <c r="A482" t="s">
        <v>484</v>
      </c>
      <c r="B482">
        <v>141.82550000000001</v>
      </c>
      <c r="C482">
        <v>284.07470000000001</v>
      </c>
      <c r="D482">
        <v>240.3407</v>
      </c>
    </row>
    <row r="483" spans="1:4" x14ac:dyDescent="0.35">
      <c r="A483" t="s">
        <v>485</v>
      </c>
      <c r="B483">
        <v>139.19649999999999</v>
      </c>
      <c r="C483">
        <v>291.5052</v>
      </c>
      <c r="D483">
        <v>249.06030000000001</v>
      </c>
    </row>
    <row r="484" spans="1:4" x14ac:dyDescent="0.35">
      <c r="A484" t="s">
        <v>486</v>
      </c>
      <c r="B484">
        <v>134.8493</v>
      </c>
      <c r="C484">
        <v>292.64400000000001</v>
      </c>
      <c r="D484">
        <v>247.48830000000001</v>
      </c>
    </row>
    <row r="485" spans="1:4" x14ac:dyDescent="0.35">
      <c r="A485" t="s">
        <v>487</v>
      </c>
      <c r="B485">
        <v>135.45330000000001</v>
      </c>
      <c r="C485">
        <v>304.3777</v>
      </c>
      <c r="D485">
        <v>247.30170000000001</v>
      </c>
    </row>
    <row r="486" spans="1:4" x14ac:dyDescent="0.35">
      <c r="A486" t="s">
        <v>488</v>
      </c>
      <c r="B486">
        <v>133.47309999999999</v>
      </c>
      <c r="C486">
        <v>307.05889999999999</v>
      </c>
      <c r="D486">
        <v>236.32919999999999</v>
      </c>
    </row>
    <row r="487" spans="1:4" x14ac:dyDescent="0.35">
      <c r="A487" t="s">
        <v>489</v>
      </c>
      <c r="B487">
        <v>129.78190000000001</v>
      </c>
      <c r="C487">
        <v>299.14120000000003</v>
      </c>
      <c r="D487">
        <v>240.13550000000001</v>
      </c>
    </row>
    <row r="488" spans="1:4" x14ac:dyDescent="0.35">
      <c r="A488" t="s">
        <v>490</v>
      </c>
      <c r="B488">
        <v>128.16569999999999</v>
      </c>
      <c r="C488">
        <v>302.6277</v>
      </c>
      <c r="D488">
        <v>244.42660000000001</v>
      </c>
    </row>
    <row r="489" spans="1:4" x14ac:dyDescent="0.35">
      <c r="A489" t="s">
        <v>491</v>
      </c>
      <c r="B489">
        <v>125.47329999999999</v>
      </c>
      <c r="C489">
        <v>304.4504</v>
      </c>
      <c r="D489">
        <v>244.1052</v>
      </c>
    </row>
    <row r="490" spans="1:4" x14ac:dyDescent="0.35">
      <c r="A490" t="s">
        <v>492</v>
      </c>
      <c r="B490">
        <v>129.8313</v>
      </c>
      <c r="C490">
        <v>310.48700000000002</v>
      </c>
      <c r="D490">
        <v>252.61840000000001</v>
      </c>
    </row>
    <row r="491" spans="1:4" x14ac:dyDescent="0.35">
      <c r="A491" t="s">
        <v>493</v>
      </c>
      <c r="B491">
        <v>132.19370000000001</v>
      </c>
      <c r="C491">
        <v>313.72820000000002</v>
      </c>
      <c r="D491">
        <v>250.23679999999999</v>
      </c>
    </row>
    <row r="492" spans="1:4" x14ac:dyDescent="0.35">
      <c r="A492" t="s">
        <v>494</v>
      </c>
      <c r="B492">
        <v>132.22550000000001</v>
      </c>
      <c r="C492">
        <v>313.16739999999999</v>
      </c>
      <c r="D492">
        <v>254.6515</v>
      </c>
    </row>
    <row r="493" spans="1:4" x14ac:dyDescent="0.35">
      <c r="A493" t="s">
        <v>495</v>
      </c>
      <c r="B493">
        <v>136.25219999999999</v>
      </c>
      <c r="C493">
        <v>307.55709999999999</v>
      </c>
      <c r="D493">
        <v>247.1155</v>
      </c>
    </row>
    <row r="494" spans="1:4" x14ac:dyDescent="0.35">
      <c r="A494" t="s">
        <v>496</v>
      </c>
      <c r="B494">
        <v>136.51779999999999</v>
      </c>
      <c r="C494">
        <v>306.6825</v>
      </c>
      <c r="D494">
        <v>247.07679999999999</v>
      </c>
    </row>
    <row r="495" spans="1:4" x14ac:dyDescent="0.35">
      <c r="A495" t="s">
        <v>497</v>
      </c>
      <c r="B495">
        <v>134.24</v>
      </c>
      <c r="C495">
        <v>302.8818</v>
      </c>
      <c r="D495">
        <v>245.92310000000001</v>
      </c>
    </row>
    <row r="496" spans="1:4" x14ac:dyDescent="0.35">
      <c r="A496" t="s">
        <v>498</v>
      </c>
      <c r="B496">
        <v>138.44759999999999</v>
      </c>
      <c r="C496">
        <v>300.34219999999999</v>
      </c>
      <c r="D496">
        <v>247.72720000000001</v>
      </c>
    </row>
    <row r="497" spans="1:4" x14ac:dyDescent="0.35">
      <c r="A497" t="s">
        <v>499</v>
      </c>
      <c r="B497">
        <v>140.00389999999999</v>
      </c>
      <c r="C497">
        <v>303.0926</v>
      </c>
      <c r="D497">
        <v>245.1309</v>
      </c>
    </row>
    <row r="498" spans="1:4" x14ac:dyDescent="0.35">
      <c r="A498" t="s">
        <v>500</v>
      </c>
      <c r="B498">
        <v>137.18430000000001</v>
      </c>
      <c r="C498">
        <v>310.86989999999997</v>
      </c>
      <c r="D498">
        <v>244.30029999999999</v>
      </c>
    </row>
    <row r="499" spans="1:4" x14ac:dyDescent="0.35">
      <c r="A499" t="s">
        <v>501</v>
      </c>
      <c r="B499">
        <v>136.71770000000001</v>
      </c>
      <c r="C499">
        <v>312.8057</v>
      </c>
      <c r="D499">
        <v>250.56780000000001</v>
      </c>
    </row>
    <row r="500" spans="1:4" x14ac:dyDescent="0.35">
      <c r="A500" t="s">
        <v>502</v>
      </c>
      <c r="B500">
        <v>134.3981</v>
      </c>
      <c r="C500">
        <v>307.3329</v>
      </c>
      <c r="D500">
        <v>247.44210000000001</v>
      </c>
    </row>
    <row r="501" spans="1:4" x14ac:dyDescent="0.35">
      <c r="A501" t="s">
        <v>503</v>
      </c>
      <c r="B501">
        <v>130.78440000000001</v>
      </c>
      <c r="C501">
        <v>309.47829999999999</v>
      </c>
      <c r="D501">
        <v>235.92859999999999</v>
      </c>
    </row>
    <row r="502" spans="1:4" x14ac:dyDescent="0.35">
      <c r="A502" t="s">
        <v>504</v>
      </c>
      <c r="B502">
        <v>133.28290000000001</v>
      </c>
      <c r="C502">
        <v>315.17399999999998</v>
      </c>
      <c r="D502">
        <v>248.77940000000001</v>
      </c>
    </row>
    <row r="503" spans="1:4" x14ac:dyDescent="0.35">
      <c r="A503" t="s">
        <v>505</v>
      </c>
      <c r="B503">
        <v>138.5266</v>
      </c>
      <c r="C503">
        <v>312.39409999999998</v>
      </c>
      <c r="D503">
        <v>259.44900000000001</v>
      </c>
    </row>
    <row r="504" spans="1:4" x14ac:dyDescent="0.35">
      <c r="A504" t="s">
        <v>506</v>
      </c>
      <c r="B504">
        <v>134.7594</v>
      </c>
      <c r="C504">
        <v>311.85640000000001</v>
      </c>
      <c r="D504">
        <v>249.72049999999999</v>
      </c>
    </row>
    <row r="505" spans="1:4" x14ac:dyDescent="0.35">
      <c r="A505" t="s">
        <v>507</v>
      </c>
      <c r="B505">
        <v>136.3398</v>
      </c>
      <c r="C505">
        <v>312.01479999999998</v>
      </c>
      <c r="D505">
        <v>255.08160000000001</v>
      </c>
    </row>
    <row r="506" spans="1:4" x14ac:dyDescent="0.35">
      <c r="A506" t="s">
        <v>508</v>
      </c>
      <c r="B506">
        <v>134.6309</v>
      </c>
      <c r="C506">
        <v>308.45150000000001</v>
      </c>
      <c r="D506">
        <v>251.3998</v>
      </c>
    </row>
    <row r="507" spans="1:4" x14ac:dyDescent="0.35">
      <c r="A507" t="s">
        <v>509</v>
      </c>
      <c r="B507">
        <v>133.37899999999999</v>
      </c>
      <c r="C507">
        <v>311.55520000000001</v>
      </c>
      <c r="D507">
        <v>253.5343</v>
      </c>
    </row>
    <row r="508" spans="1:4" x14ac:dyDescent="0.35">
      <c r="A508" t="s">
        <v>510</v>
      </c>
      <c r="B508">
        <v>131.86080000000001</v>
      </c>
      <c r="C508">
        <v>311.07990000000001</v>
      </c>
      <c r="D508">
        <v>255.9228</v>
      </c>
    </row>
    <row r="509" spans="1:4" x14ac:dyDescent="0.35">
      <c r="A509" t="s">
        <v>511</v>
      </c>
      <c r="B509">
        <v>129.65369999999999</v>
      </c>
      <c r="C509">
        <v>313.13369999999998</v>
      </c>
      <c r="D509">
        <v>254.26920000000001</v>
      </c>
    </row>
    <row r="510" spans="1:4" x14ac:dyDescent="0.35">
      <c r="A510" t="s">
        <v>512</v>
      </c>
      <c r="B510">
        <v>129.83150000000001</v>
      </c>
      <c r="C510">
        <v>309.08159999999998</v>
      </c>
      <c r="D510">
        <v>248.49700000000001</v>
      </c>
    </row>
    <row r="511" spans="1:4" x14ac:dyDescent="0.35">
      <c r="A511" t="s">
        <v>513</v>
      </c>
      <c r="B511">
        <v>127.7427</v>
      </c>
      <c r="C511">
        <v>307.14839999999998</v>
      </c>
      <c r="D511">
        <v>243.5359</v>
      </c>
    </row>
    <row r="512" spans="1:4" x14ac:dyDescent="0.35">
      <c r="A512" t="s">
        <v>514</v>
      </c>
      <c r="B512">
        <v>128.48699999999999</v>
      </c>
      <c r="C512">
        <v>310.58390000000003</v>
      </c>
      <c r="D512">
        <v>237.06360000000001</v>
      </c>
    </row>
    <row r="513" spans="1:4" x14ac:dyDescent="0.35">
      <c r="A513" t="s">
        <v>515</v>
      </c>
      <c r="B513">
        <v>128.4093</v>
      </c>
      <c r="C513">
        <v>308.94069999999999</v>
      </c>
      <c r="D513">
        <v>231.34819999999999</v>
      </c>
    </row>
    <row r="514" spans="1:4" x14ac:dyDescent="0.35">
      <c r="A514" t="s">
        <v>516</v>
      </c>
      <c r="B514">
        <v>127.84820000000001</v>
      </c>
      <c r="C514">
        <v>317.13929999999999</v>
      </c>
      <c r="D514">
        <v>231.0094</v>
      </c>
    </row>
    <row r="515" spans="1:4" x14ac:dyDescent="0.35">
      <c r="A515" t="s">
        <v>517</v>
      </c>
      <c r="B515">
        <v>125.5988</v>
      </c>
      <c r="C515">
        <v>315.33449999999999</v>
      </c>
      <c r="D515">
        <v>226.22630000000001</v>
      </c>
    </row>
    <row r="516" spans="1:4" x14ac:dyDescent="0.35">
      <c r="A516" t="s">
        <v>518</v>
      </c>
      <c r="B516">
        <v>124.2079</v>
      </c>
      <c r="C516">
        <v>316.49009999999998</v>
      </c>
      <c r="D516">
        <v>231.0299</v>
      </c>
    </row>
    <row r="517" spans="1:4" x14ac:dyDescent="0.35">
      <c r="A517" t="s">
        <v>519</v>
      </c>
      <c r="B517">
        <v>126.14919999999999</v>
      </c>
      <c r="C517">
        <v>321.04079999999999</v>
      </c>
      <c r="D517">
        <v>241.70419999999999</v>
      </c>
    </row>
    <row r="518" spans="1:4" x14ac:dyDescent="0.35">
      <c r="A518" t="s">
        <v>520</v>
      </c>
      <c r="B518">
        <v>127.47029999999999</v>
      </c>
      <c r="C518">
        <v>314.37299999999999</v>
      </c>
      <c r="D518">
        <v>237.6652</v>
      </c>
    </row>
    <row r="519" spans="1:4" x14ac:dyDescent="0.35">
      <c r="A519" t="s">
        <v>521</v>
      </c>
      <c r="B519">
        <v>125.0523</v>
      </c>
      <c r="C519">
        <v>306.26650000000001</v>
      </c>
      <c r="D519">
        <v>239.51</v>
      </c>
    </row>
    <row r="520" spans="1:4" x14ac:dyDescent="0.35">
      <c r="A520" t="s">
        <v>522</v>
      </c>
      <c r="B520">
        <v>125.3511</v>
      </c>
      <c r="C520">
        <v>299.42329999999998</v>
      </c>
      <c r="D520">
        <v>243.2612</v>
      </c>
    </row>
    <row r="521" spans="1:4" x14ac:dyDescent="0.35">
      <c r="A521" t="s">
        <v>523</v>
      </c>
      <c r="B521">
        <v>127.3</v>
      </c>
      <c r="C521">
        <v>305.23579999999998</v>
      </c>
      <c r="D521">
        <v>246.86600000000001</v>
      </c>
    </row>
    <row r="522" spans="1:4" x14ac:dyDescent="0.35">
      <c r="A522" t="s">
        <v>524</v>
      </c>
      <c r="B522">
        <v>123.1691</v>
      </c>
      <c r="C522">
        <v>302.8066</v>
      </c>
      <c r="D522">
        <v>247.56530000000001</v>
      </c>
    </row>
    <row r="523" spans="1:4" x14ac:dyDescent="0.35">
      <c r="A523" t="s">
        <v>525</v>
      </c>
      <c r="B523">
        <v>124.56480000000001</v>
      </c>
      <c r="C523">
        <v>314.74239999999998</v>
      </c>
      <c r="D523">
        <v>253.2824</v>
      </c>
    </row>
    <row r="524" spans="1:4" x14ac:dyDescent="0.35">
      <c r="A524" t="s">
        <v>526</v>
      </c>
      <c r="B524">
        <v>122.974</v>
      </c>
      <c r="C524">
        <v>312.17950000000002</v>
      </c>
      <c r="D524">
        <v>257.11470000000003</v>
      </c>
    </row>
    <row r="525" spans="1:4" x14ac:dyDescent="0.35">
      <c r="A525" t="s">
        <v>527</v>
      </c>
      <c r="B525">
        <v>124.43519999999999</v>
      </c>
      <c r="C525">
        <v>313.13490000000002</v>
      </c>
      <c r="D525">
        <v>247.87950000000001</v>
      </c>
    </row>
    <row r="526" spans="1:4" x14ac:dyDescent="0.35">
      <c r="A526" t="s">
        <v>528</v>
      </c>
      <c r="B526">
        <v>122.59910000000001</v>
      </c>
      <c r="C526">
        <v>320.5548</v>
      </c>
      <c r="D526">
        <v>254.56780000000001</v>
      </c>
    </row>
    <row r="527" spans="1:4" x14ac:dyDescent="0.35">
      <c r="A527" t="s">
        <v>529</v>
      </c>
      <c r="B527">
        <v>118.2998</v>
      </c>
      <c r="C527">
        <v>330.44240000000002</v>
      </c>
      <c r="D527">
        <v>261.57889999999998</v>
      </c>
    </row>
    <row r="528" spans="1:4" x14ac:dyDescent="0.35">
      <c r="A528" t="s">
        <v>530</v>
      </c>
      <c r="B528">
        <v>114.5569</v>
      </c>
      <c r="C528">
        <v>340.91809999999998</v>
      </c>
      <c r="D528">
        <v>255.7978</v>
      </c>
    </row>
    <row r="529" spans="1:4" x14ac:dyDescent="0.35">
      <c r="A529" t="s">
        <v>531</v>
      </c>
      <c r="B529">
        <v>114.71299999999999</v>
      </c>
      <c r="C529">
        <v>347.25360000000001</v>
      </c>
      <c r="D529">
        <v>256.23</v>
      </c>
    </row>
    <row r="530" spans="1:4" x14ac:dyDescent="0.35">
      <c r="A530" t="s">
        <v>532</v>
      </c>
      <c r="B530">
        <v>115.3565</v>
      </c>
      <c r="C530">
        <v>352.7303</v>
      </c>
      <c r="D530">
        <v>261.68079999999998</v>
      </c>
    </row>
    <row r="531" spans="1:4" x14ac:dyDescent="0.35">
      <c r="A531" t="s">
        <v>533</v>
      </c>
      <c r="B531">
        <v>113.3342</v>
      </c>
      <c r="C531">
        <v>355.98160000000001</v>
      </c>
      <c r="D531">
        <v>260.18579999999997</v>
      </c>
    </row>
    <row r="532" spans="1:4" x14ac:dyDescent="0.35">
      <c r="A532" t="s">
        <v>534</v>
      </c>
      <c r="B532">
        <v>114.8369</v>
      </c>
      <c r="C532">
        <v>360.26580000000001</v>
      </c>
      <c r="D532">
        <v>268.8451</v>
      </c>
    </row>
    <row r="533" spans="1:4" x14ac:dyDescent="0.35">
      <c r="A533" t="s">
        <v>535</v>
      </c>
      <c r="B533">
        <v>111.128</v>
      </c>
      <c r="C533">
        <v>357.40219999999999</v>
      </c>
      <c r="D533">
        <v>288.76159999999999</v>
      </c>
    </row>
    <row r="534" spans="1:4" x14ac:dyDescent="0.35">
      <c r="A534" t="s">
        <v>536</v>
      </c>
      <c r="B534">
        <v>111.0256</v>
      </c>
      <c r="C534">
        <v>353.14409999999998</v>
      </c>
      <c r="D534">
        <v>282.18759999999997</v>
      </c>
    </row>
    <row r="535" spans="1:4" x14ac:dyDescent="0.35">
      <c r="A535" t="s">
        <v>537</v>
      </c>
      <c r="B535">
        <v>108.4122</v>
      </c>
      <c r="C535">
        <v>353.2278</v>
      </c>
      <c r="D535">
        <v>270.88400000000001</v>
      </c>
    </row>
    <row r="536" spans="1:4" x14ac:dyDescent="0.35">
      <c r="A536" t="s">
        <v>538</v>
      </c>
      <c r="B536">
        <v>107.0509</v>
      </c>
      <c r="C536">
        <v>352.42860000000002</v>
      </c>
      <c r="D536">
        <v>273.51459999999997</v>
      </c>
    </row>
    <row r="537" spans="1:4" x14ac:dyDescent="0.35">
      <c r="A537" t="s">
        <v>539</v>
      </c>
      <c r="B537">
        <v>107.1953</v>
      </c>
      <c r="C537">
        <v>350.14139999999998</v>
      </c>
      <c r="D537">
        <v>279.65370000000001</v>
      </c>
    </row>
    <row r="538" spans="1:4" x14ac:dyDescent="0.35">
      <c r="A538" t="s">
        <v>540</v>
      </c>
      <c r="B538">
        <v>105.40860000000001</v>
      </c>
      <c r="C538">
        <v>353.91980000000001</v>
      </c>
      <c r="D538">
        <v>277.87630000000001</v>
      </c>
    </row>
    <row r="539" spans="1:4" x14ac:dyDescent="0.35">
      <c r="A539" t="s">
        <v>541</v>
      </c>
      <c r="B539">
        <v>104.64279999999999</v>
      </c>
      <c r="C539">
        <v>359.1311</v>
      </c>
      <c r="D539">
        <v>290.41879999999998</v>
      </c>
    </row>
    <row r="540" spans="1:4" x14ac:dyDescent="0.35">
      <c r="A540" t="s">
        <v>542</v>
      </c>
      <c r="B540">
        <v>106.8129</v>
      </c>
      <c r="C540">
        <v>359.71100000000001</v>
      </c>
      <c r="D540">
        <v>279.14060000000001</v>
      </c>
    </row>
    <row r="541" spans="1:4" x14ac:dyDescent="0.35">
      <c r="A541" t="s">
        <v>543</v>
      </c>
      <c r="B541">
        <v>105.6298</v>
      </c>
      <c r="C541">
        <v>367.87799999999999</v>
      </c>
      <c r="D541">
        <v>285.16079999999999</v>
      </c>
    </row>
    <row r="542" spans="1:4" x14ac:dyDescent="0.35">
      <c r="A542" t="s">
        <v>544</v>
      </c>
      <c r="B542">
        <v>107.45310000000001</v>
      </c>
      <c r="C542">
        <v>361.73559999999998</v>
      </c>
      <c r="D542">
        <v>280.17869999999999</v>
      </c>
    </row>
    <row r="543" spans="1:4" x14ac:dyDescent="0.35">
      <c r="A543" t="s">
        <v>545</v>
      </c>
      <c r="B543">
        <v>105.0946</v>
      </c>
      <c r="C543">
        <v>360.79</v>
      </c>
      <c r="D543">
        <v>295.17219999999998</v>
      </c>
    </row>
    <row r="544" spans="1:4" x14ac:dyDescent="0.35">
      <c r="A544" t="s">
        <v>546</v>
      </c>
      <c r="B544">
        <v>106.25660000000001</v>
      </c>
      <c r="C544">
        <v>357.03410000000002</v>
      </c>
      <c r="D544">
        <v>313.52659999999997</v>
      </c>
    </row>
    <row r="545" spans="1:4" x14ac:dyDescent="0.35">
      <c r="A545" t="s">
        <v>547</v>
      </c>
      <c r="B545">
        <v>109.4084</v>
      </c>
      <c r="C545">
        <v>347.27629999999999</v>
      </c>
      <c r="D545">
        <v>306.56650000000002</v>
      </c>
    </row>
    <row r="546" spans="1:4" x14ac:dyDescent="0.35">
      <c r="A546" t="s">
        <v>548</v>
      </c>
      <c r="B546">
        <v>104.17319999999999</v>
      </c>
      <c r="C546">
        <v>346.94560000000001</v>
      </c>
      <c r="D546">
        <v>301.71949999999998</v>
      </c>
    </row>
    <row r="547" spans="1:4" x14ac:dyDescent="0.35">
      <c r="A547" t="s">
        <v>549</v>
      </c>
      <c r="B547">
        <v>102.5671</v>
      </c>
      <c r="C547">
        <v>346.41219999999998</v>
      </c>
      <c r="D547">
        <v>309.77170000000001</v>
      </c>
    </row>
    <row r="548" spans="1:4" x14ac:dyDescent="0.35">
      <c r="A548" t="s">
        <v>550</v>
      </c>
      <c r="B548">
        <v>103.7992</v>
      </c>
      <c r="C548">
        <v>354.46820000000002</v>
      </c>
      <c r="D548">
        <v>306.36329999999998</v>
      </c>
    </row>
    <row r="549" spans="1:4" x14ac:dyDescent="0.35">
      <c r="A549" t="s">
        <v>551</v>
      </c>
      <c r="B549">
        <v>103.4199</v>
      </c>
      <c r="C549">
        <v>357.94110000000001</v>
      </c>
      <c r="D549">
        <v>306.11450000000002</v>
      </c>
    </row>
    <row r="550" spans="1:4" x14ac:dyDescent="0.35">
      <c r="A550" t="s">
        <v>552</v>
      </c>
      <c r="B550">
        <v>104.2321</v>
      </c>
      <c r="C550">
        <v>352.58550000000002</v>
      </c>
      <c r="D550">
        <v>306.5163</v>
      </c>
    </row>
    <row r="551" spans="1:4" x14ac:dyDescent="0.35">
      <c r="A551" t="s">
        <v>553</v>
      </c>
      <c r="B551">
        <v>103.0218</v>
      </c>
      <c r="C551">
        <v>362.63319999999999</v>
      </c>
      <c r="D551">
        <v>289.52179999999998</v>
      </c>
    </row>
    <row r="552" spans="1:4" x14ac:dyDescent="0.35">
      <c r="A552" t="s">
        <v>554</v>
      </c>
      <c r="B552">
        <v>103.24169999999999</v>
      </c>
      <c r="C552">
        <v>369.44240000000002</v>
      </c>
      <c r="D552">
        <v>289.5609</v>
      </c>
    </row>
    <row r="553" spans="1:4" x14ac:dyDescent="0.35">
      <c r="A553" t="s">
        <v>555</v>
      </c>
      <c r="B553">
        <v>102.9619</v>
      </c>
      <c r="C553">
        <v>372.78949999999998</v>
      </c>
      <c r="D553">
        <v>283.7869</v>
      </c>
    </row>
    <row r="554" spans="1:4" x14ac:dyDescent="0.35">
      <c r="A554" t="s">
        <v>556</v>
      </c>
      <c r="B554">
        <v>105.4371</v>
      </c>
      <c r="C554">
        <v>371.63200000000001</v>
      </c>
      <c r="D554">
        <v>279.77339999999998</v>
      </c>
    </row>
    <row r="555" spans="1:4" x14ac:dyDescent="0.35">
      <c r="A555" t="s">
        <v>557</v>
      </c>
      <c r="B555">
        <v>106.01739999999999</v>
      </c>
      <c r="C555">
        <v>366.4273</v>
      </c>
      <c r="D555">
        <v>292.31700000000001</v>
      </c>
    </row>
    <row r="556" spans="1:4" x14ac:dyDescent="0.35">
      <c r="A556" t="s">
        <v>558</v>
      </c>
      <c r="B556">
        <v>106.7784</v>
      </c>
      <c r="C556">
        <v>364.49189999999999</v>
      </c>
      <c r="D556">
        <v>281.65809999999999</v>
      </c>
    </row>
    <row r="557" spans="1:4" x14ac:dyDescent="0.35">
      <c r="A557" t="s">
        <v>559</v>
      </c>
      <c r="B557">
        <v>105.9447</v>
      </c>
      <c r="C557">
        <v>370.59989999999999</v>
      </c>
      <c r="D557">
        <v>288.77269999999999</v>
      </c>
    </row>
    <row r="558" spans="1:4" x14ac:dyDescent="0.35">
      <c r="A558" t="s">
        <v>560</v>
      </c>
      <c r="B558">
        <v>104.9586</v>
      </c>
      <c r="C558">
        <v>381.33550000000002</v>
      </c>
      <c r="D558">
        <v>286.52359999999999</v>
      </c>
    </row>
    <row r="559" spans="1:4" x14ac:dyDescent="0.35">
      <c r="A559" t="s">
        <v>561</v>
      </c>
      <c r="B559">
        <v>104.09610000000001</v>
      </c>
      <c r="C559">
        <v>390.37799999999999</v>
      </c>
      <c r="D559">
        <v>284.28530000000001</v>
      </c>
    </row>
    <row r="560" spans="1:4" x14ac:dyDescent="0.35">
      <c r="A560" t="s">
        <v>562</v>
      </c>
      <c r="B560">
        <v>104.96250000000001</v>
      </c>
      <c r="C560">
        <v>387.63740000000001</v>
      </c>
      <c r="D560">
        <v>291.26670000000001</v>
      </c>
    </row>
    <row r="561" spans="1:4" x14ac:dyDescent="0.35">
      <c r="A561" t="s">
        <v>563</v>
      </c>
      <c r="B561">
        <v>104.1241</v>
      </c>
      <c r="C561">
        <v>381.29129999999998</v>
      </c>
      <c r="D561">
        <v>294.41520000000003</v>
      </c>
    </row>
    <row r="562" spans="1:4" x14ac:dyDescent="0.35">
      <c r="A562" t="s">
        <v>564</v>
      </c>
      <c r="B562">
        <v>104.77119999999999</v>
      </c>
      <c r="C562">
        <v>382.20780000000002</v>
      </c>
      <c r="D562">
        <v>299.66320000000002</v>
      </c>
    </row>
    <row r="563" spans="1:4" x14ac:dyDescent="0.35">
      <c r="A563" t="s">
        <v>565</v>
      </c>
      <c r="B563">
        <v>109.25530000000001</v>
      </c>
      <c r="C563">
        <v>372.30939999999998</v>
      </c>
      <c r="D563">
        <v>308.66449999999998</v>
      </c>
    </row>
    <row r="564" spans="1:4" x14ac:dyDescent="0.35">
      <c r="A564" t="s">
        <v>566</v>
      </c>
      <c r="B564">
        <v>111.2199</v>
      </c>
      <c r="C564">
        <v>374.22620000000001</v>
      </c>
      <c r="D564">
        <v>305.7799</v>
      </c>
    </row>
    <row r="565" spans="1:4" x14ac:dyDescent="0.35">
      <c r="A565" t="s">
        <v>567</v>
      </c>
      <c r="B565">
        <v>110.54130000000001</v>
      </c>
      <c r="C565">
        <v>373.5059</v>
      </c>
      <c r="D565">
        <v>300.38</v>
      </c>
    </row>
    <row r="566" spans="1:4" x14ac:dyDescent="0.35">
      <c r="A566" t="s">
        <v>568</v>
      </c>
      <c r="B566">
        <v>113.2744</v>
      </c>
      <c r="C566">
        <v>371.01060000000001</v>
      </c>
      <c r="D566">
        <v>290.9187</v>
      </c>
    </row>
    <row r="567" spans="1:4" x14ac:dyDescent="0.35">
      <c r="A567" t="s">
        <v>569</v>
      </c>
      <c r="B567">
        <v>112.39870000000001</v>
      </c>
      <c r="C567">
        <v>362.34530000000001</v>
      </c>
      <c r="D567">
        <v>283.95949999999999</v>
      </c>
    </row>
    <row r="568" spans="1:4" x14ac:dyDescent="0.35">
      <c r="A568" t="s">
        <v>570</v>
      </c>
      <c r="B568">
        <v>107.95229999999999</v>
      </c>
      <c r="C568">
        <v>365.25259999999997</v>
      </c>
      <c r="D568">
        <v>310.39769999999999</v>
      </c>
    </row>
    <row r="569" spans="1:4" x14ac:dyDescent="0.35">
      <c r="A569" t="s">
        <v>571</v>
      </c>
      <c r="B569">
        <v>105.8399</v>
      </c>
      <c r="C569">
        <v>362.44990000000001</v>
      </c>
      <c r="D569">
        <v>322.3845</v>
      </c>
    </row>
    <row r="570" spans="1:4" x14ac:dyDescent="0.35">
      <c r="A570" t="s">
        <v>572</v>
      </c>
      <c r="B570">
        <v>101.99379999999999</v>
      </c>
      <c r="C570">
        <v>356.24720000000002</v>
      </c>
      <c r="D570">
        <v>309.7491</v>
      </c>
    </row>
    <row r="571" spans="1:4" x14ac:dyDescent="0.35">
      <c r="A571" t="s">
        <v>573</v>
      </c>
      <c r="B571">
        <v>101.3198</v>
      </c>
      <c r="C571">
        <v>341.3227</v>
      </c>
      <c r="D571">
        <v>297.8646</v>
      </c>
    </row>
    <row r="572" spans="1:4" x14ac:dyDescent="0.35">
      <c r="A572" t="s">
        <v>574</v>
      </c>
      <c r="B572">
        <v>101.3977</v>
      </c>
      <c r="C572">
        <v>341.28</v>
      </c>
      <c r="D572">
        <v>302.36799999999999</v>
      </c>
    </row>
    <row r="573" spans="1:4" x14ac:dyDescent="0.35">
      <c r="A573" t="s">
        <v>575</v>
      </c>
      <c r="B573">
        <v>104.89700000000001</v>
      </c>
      <c r="C573">
        <v>350.57499999999999</v>
      </c>
      <c r="D573">
        <v>307.54239999999999</v>
      </c>
    </row>
    <row r="574" spans="1:4" x14ac:dyDescent="0.35">
      <c r="A574" t="s">
        <v>576</v>
      </c>
      <c r="B574">
        <v>105.62739999999999</v>
      </c>
      <c r="C574">
        <v>359.524</v>
      </c>
      <c r="D574">
        <v>312.82040000000001</v>
      </c>
    </row>
    <row r="575" spans="1:4" x14ac:dyDescent="0.35">
      <c r="A575" t="s">
        <v>577</v>
      </c>
      <c r="B575">
        <v>105.2076</v>
      </c>
      <c r="C575">
        <v>357.17</v>
      </c>
      <c r="D575">
        <v>310.60770000000002</v>
      </c>
    </row>
    <row r="576" spans="1:4" x14ac:dyDescent="0.35">
      <c r="A576" t="s">
        <v>578</v>
      </c>
      <c r="B576">
        <v>107.01009999999999</v>
      </c>
      <c r="C576">
        <v>354.06</v>
      </c>
      <c r="D576">
        <v>309.61110000000002</v>
      </c>
    </row>
    <row r="577" spans="1:4" x14ac:dyDescent="0.35">
      <c r="A577" t="s">
        <v>579</v>
      </c>
      <c r="B577">
        <v>102.42189999999999</v>
      </c>
      <c r="C577">
        <v>356.66090000000003</v>
      </c>
      <c r="D577">
        <v>312.84359999999998</v>
      </c>
    </row>
    <row r="578" spans="1:4" x14ac:dyDescent="0.35">
      <c r="A578" t="s">
        <v>580</v>
      </c>
      <c r="B578">
        <v>102.9469</v>
      </c>
      <c r="C578">
        <v>351.46039999999999</v>
      </c>
      <c r="D578">
        <v>313.82330000000002</v>
      </c>
    </row>
    <row r="579" spans="1:4" x14ac:dyDescent="0.35">
      <c r="A579" t="s">
        <v>581</v>
      </c>
      <c r="B579">
        <v>104.5882</v>
      </c>
      <c r="C579">
        <v>353.15660000000003</v>
      </c>
      <c r="D579">
        <v>293.77120000000002</v>
      </c>
    </row>
    <row r="580" spans="1:4" x14ac:dyDescent="0.35">
      <c r="A580" t="s">
        <v>582</v>
      </c>
      <c r="B580">
        <v>101.5812</v>
      </c>
      <c r="C580">
        <v>357.34089999999998</v>
      </c>
      <c r="D580">
        <v>291.91340000000002</v>
      </c>
    </row>
    <row r="581" spans="1:4" x14ac:dyDescent="0.35">
      <c r="A581" t="s">
        <v>583</v>
      </c>
      <c r="B581">
        <v>103.97329999999999</v>
      </c>
      <c r="C581">
        <v>364.0829</v>
      </c>
      <c r="D581">
        <v>284.70830000000001</v>
      </c>
    </row>
    <row r="582" spans="1:4" x14ac:dyDescent="0.35">
      <c r="A582" t="s">
        <v>584</v>
      </c>
      <c r="B582">
        <v>104.7214</v>
      </c>
      <c r="C582">
        <v>363.64089999999999</v>
      </c>
      <c r="D582">
        <v>286.36619999999999</v>
      </c>
    </row>
    <row r="583" spans="1:4" x14ac:dyDescent="0.35">
      <c r="A583" t="s">
        <v>585</v>
      </c>
      <c r="B583">
        <v>103.8968</v>
      </c>
      <c r="C583">
        <v>362.63589999999999</v>
      </c>
      <c r="D583">
        <v>313.36829999999998</v>
      </c>
    </row>
    <row r="584" spans="1:4" x14ac:dyDescent="0.35">
      <c r="A584" t="s">
        <v>586</v>
      </c>
      <c r="B584">
        <v>105.2621</v>
      </c>
      <c r="C584">
        <v>357.99430000000001</v>
      </c>
      <c r="D584">
        <v>317.01639999999998</v>
      </c>
    </row>
    <row r="585" spans="1:4" x14ac:dyDescent="0.35">
      <c r="A585" t="s">
        <v>587</v>
      </c>
      <c r="B585">
        <v>110.1968</v>
      </c>
      <c r="C585">
        <v>353.68310000000002</v>
      </c>
      <c r="D585">
        <v>314.22140000000002</v>
      </c>
    </row>
    <row r="586" spans="1:4" x14ac:dyDescent="0.35">
      <c r="A586" t="s">
        <v>588</v>
      </c>
      <c r="B586">
        <v>110.6425</v>
      </c>
      <c r="C586">
        <v>352.58499999999998</v>
      </c>
      <c r="D586">
        <v>323.20979999999997</v>
      </c>
    </row>
    <row r="587" spans="1:4" x14ac:dyDescent="0.35">
      <c r="A587" t="s">
        <v>589</v>
      </c>
      <c r="B587">
        <v>111.2377</v>
      </c>
      <c r="C587">
        <v>354.6352</v>
      </c>
      <c r="D587">
        <v>328.1046</v>
      </c>
    </row>
    <row r="588" spans="1:4" x14ac:dyDescent="0.35">
      <c r="A588" t="s">
        <v>590</v>
      </c>
      <c r="B588">
        <v>110.2645</v>
      </c>
      <c r="C588">
        <v>359.63189999999997</v>
      </c>
      <c r="D588">
        <v>332.4486</v>
      </c>
    </row>
    <row r="589" spans="1:4" x14ac:dyDescent="0.35">
      <c r="A589" t="s">
        <v>591</v>
      </c>
      <c r="B589">
        <v>108.4495</v>
      </c>
      <c r="C589">
        <v>355.4273</v>
      </c>
      <c r="D589">
        <v>338.74270000000001</v>
      </c>
    </row>
    <row r="590" spans="1:4" x14ac:dyDescent="0.35">
      <c r="A590" t="s">
        <v>592</v>
      </c>
      <c r="B590">
        <v>110.30970000000001</v>
      </c>
      <c r="C590">
        <v>363.5797</v>
      </c>
      <c r="D590">
        <v>360.4982</v>
      </c>
    </row>
    <row r="591" spans="1:4" x14ac:dyDescent="0.35">
      <c r="A591" t="s">
        <v>593</v>
      </c>
      <c r="B591">
        <v>108.48050000000001</v>
      </c>
      <c r="C591">
        <v>362.20819999999998</v>
      </c>
      <c r="D591">
        <v>348.66460000000001</v>
      </c>
    </row>
    <row r="592" spans="1:4" x14ac:dyDescent="0.35">
      <c r="A592" t="s">
        <v>594</v>
      </c>
      <c r="B592">
        <v>108.6793</v>
      </c>
      <c r="C592">
        <v>362.19630000000001</v>
      </c>
      <c r="D592">
        <v>353.84870000000001</v>
      </c>
    </row>
    <row r="593" spans="1:4" x14ac:dyDescent="0.35">
      <c r="A593" t="s">
        <v>595</v>
      </c>
      <c r="B593">
        <v>107.6891</v>
      </c>
      <c r="C593">
        <v>358.26229999999998</v>
      </c>
      <c r="D593">
        <v>344.33940000000001</v>
      </c>
    </row>
    <row r="594" spans="1:4" x14ac:dyDescent="0.35">
      <c r="A594" t="s">
        <v>596</v>
      </c>
      <c r="B594">
        <v>108.7692</v>
      </c>
      <c r="C594">
        <v>345.56799999999998</v>
      </c>
      <c r="D594">
        <v>350.31869999999998</v>
      </c>
    </row>
    <row r="595" spans="1:4" x14ac:dyDescent="0.35">
      <c r="A595" t="s">
        <v>597</v>
      </c>
      <c r="B595">
        <v>109.5412</v>
      </c>
      <c r="C595">
        <v>350.2817</v>
      </c>
      <c r="D595">
        <v>340.983</v>
      </c>
    </row>
    <row r="596" spans="1:4" x14ac:dyDescent="0.35">
      <c r="A596" t="s">
        <v>598</v>
      </c>
      <c r="B596">
        <v>111.8828</v>
      </c>
      <c r="C596">
        <v>354.2765</v>
      </c>
      <c r="D596">
        <v>336.9255</v>
      </c>
    </row>
    <row r="597" spans="1:4" x14ac:dyDescent="0.35">
      <c r="A597" t="s">
        <v>599</v>
      </c>
      <c r="B597">
        <v>110.79170000000001</v>
      </c>
      <c r="C597">
        <v>352.8861</v>
      </c>
      <c r="D597">
        <v>334.13959999999997</v>
      </c>
    </row>
    <row r="598" spans="1:4" x14ac:dyDescent="0.35">
      <c r="A598" t="s">
        <v>600</v>
      </c>
      <c r="B598">
        <v>110.2394</v>
      </c>
      <c r="C598">
        <v>353.34249999999997</v>
      </c>
      <c r="D598">
        <v>344.25529999999998</v>
      </c>
    </row>
    <row r="599" spans="1:4" x14ac:dyDescent="0.35">
      <c r="A599" t="s">
        <v>601</v>
      </c>
      <c r="B599">
        <v>108.1456</v>
      </c>
      <c r="C599">
        <v>356.19</v>
      </c>
      <c r="D599">
        <v>354.06729999999999</v>
      </c>
    </row>
    <row r="600" spans="1:4" x14ac:dyDescent="0.35">
      <c r="A600" t="s">
        <v>602</v>
      </c>
      <c r="B600">
        <v>107.23180000000001</v>
      </c>
      <c r="C600">
        <v>348.03870000000001</v>
      </c>
      <c r="D600">
        <v>341.2672</v>
      </c>
    </row>
    <row r="601" spans="1:4" x14ac:dyDescent="0.35">
      <c r="A601" t="s">
        <v>603</v>
      </c>
      <c r="B601">
        <v>108.0873</v>
      </c>
      <c r="C601">
        <v>345.38690000000003</v>
      </c>
      <c r="D601">
        <v>342.0181</v>
      </c>
    </row>
    <row r="602" spans="1:4" x14ac:dyDescent="0.35">
      <c r="A602" t="s">
        <v>604</v>
      </c>
      <c r="B602">
        <v>109.78</v>
      </c>
      <c r="C602">
        <v>349.62700000000001</v>
      </c>
      <c r="D602">
        <v>334.99860000000001</v>
      </c>
    </row>
    <row r="603" spans="1:4" x14ac:dyDescent="0.35">
      <c r="A603" t="s">
        <v>605</v>
      </c>
      <c r="B603">
        <v>107.81699999999999</v>
      </c>
      <c r="C603">
        <v>343.20909999999998</v>
      </c>
      <c r="D603">
        <v>322.76389999999998</v>
      </c>
    </row>
    <row r="604" spans="1:4" x14ac:dyDescent="0.35">
      <c r="A604" t="s">
        <v>606</v>
      </c>
      <c r="B604">
        <v>109.7525</v>
      </c>
      <c r="C604">
        <v>344.8229</v>
      </c>
      <c r="D604">
        <v>320.8458</v>
      </c>
    </row>
    <row r="605" spans="1:4" x14ac:dyDescent="0.35">
      <c r="A605" t="s">
        <v>607</v>
      </c>
      <c r="B605">
        <v>112.81399999999999</v>
      </c>
      <c r="C605">
        <v>337.9742</v>
      </c>
      <c r="D605">
        <v>318.06509999999997</v>
      </c>
    </row>
    <row r="606" spans="1:4" x14ac:dyDescent="0.35">
      <c r="A606" t="s">
        <v>608</v>
      </c>
      <c r="B606">
        <v>113.7962</v>
      </c>
      <c r="C606">
        <v>340.44499999999999</v>
      </c>
      <c r="D606">
        <v>342.27260000000001</v>
      </c>
    </row>
    <row r="607" spans="1:4" x14ac:dyDescent="0.35">
      <c r="A607" t="s">
        <v>609</v>
      </c>
      <c r="B607">
        <v>118.1961</v>
      </c>
      <c r="C607">
        <v>340.36090000000002</v>
      </c>
      <c r="D607">
        <v>346.93810000000002</v>
      </c>
    </row>
    <row r="608" spans="1:4" x14ac:dyDescent="0.35">
      <c r="A608" t="s">
        <v>610</v>
      </c>
      <c r="B608">
        <v>116.42749999999999</v>
      </c>
      <c r="C608">
        <v>332.30959999999999</v>
      </c>
      <c r="D608">
        <v>333.07510000000002</v>
      </c>
    </row>
    <row r="609" spans="1:4" x14ac:dyDescent="0.35">
      <c r="A609" t="s">
        <v>611</v>
      </c>
      <c r="B609">
        <v>113.6105</v>
      </c>
      <c r="C609">
        <v>338.2636</v>
      </c>
      <c r="D609">
        <v>327.65940000000001</v>
      </c>
    </row>
    <row r="610" spans="1:4" x14ac:dyDescent="0.35">
      <c r="A610" t="s">
        <v>612</v>
      </c>
      <c r="B610">
        <v>109.68380000000001</v>
      </c>
      <c r="C610">
        <v>334.65300000000002</v>
      </c>
      <c r="D610">
        <v>338.04059999999998</v>
      </c>
    </row>
    <row r="611" spans="1:4" x14ac:dyDescent="0.35">
      <c r="A611" t="s">
        <v>613</v>
      </c>
      <c r="B611">
        <v>113.0604</v>
      </c>
      <c r="C611">
        <v>330.7054</v>
      </c>
      <c r="D611">
        <v>360.09559999999999</v>
      </c>
    </row>
    <row r="612" spans="1:4" x14ac:dyDescent="0.35">
      <c r="A612" t="s">
        <v>614</v>
      </c>
      <c r="B612">
        <v>114.5956</v>
      </c>
      <c r="C612">
        <v>331.79719999999998</v>
      </c>
      <c r="D612">
        <v>343.55250000000001</v>
      </c>
    </row>
    <row r="613" spans="1:4" x14ac:dyDescent="0.35">
      <c r="A613" t="s">
        <v>615</v>
      </c>
      <c r="B613">
        <v>114.5141</v>
      </c>
      <c r="C613">
        <v>337.66050000000001</v>
      </c>
      <c r="D613">
        <v>324.89179999999999</v>
      </c>
    </row>
    <row r="614" spans="1:4" x14ac:dyDescent="0.35">
      <c r="A614" t="s">
        <v>616</v>
      </c>
      <c r="B614">
        <v>115.2032</v>
      </c>
      <c r="C614">
        <v>332.65010000000001</v>
      </c>
      <c r="D614">
        <v>343.83819999999997</v>
      </c>
    </row>
    <row r="615" spans="1:4" x14ac:dyDescent="0.35">
      <c r="A615" t="s">
        <v>617</v>
      </c>
      <c r="B615">
        <v>112.684</v>
      </c>
      <c r="C615">
        <v>333.05369999999999</v>
      </c>
      <c r="D615">
        <v>348.07209999999998</v>
      </c>
    </row>
    <row r="616" spans="1:4" x14ac:dyDescent="0.35">
      <c r="A616" t="s">
        <v>618</v>
      </c>
      <c r="B616">
        <v>118.38030000000001</v>
      </c>
      <c r="C616">
        <v>335.29930000000002</v>
      </c>
      <c r="D616">
        <v>339.30889999999999</v>
      </c>
    </row>
    <row r="617" spans="1:4" x14ac:dyDescent="0.35">
      <c r="A617" t="s">
        <v>619</v>
      </c>
      <c r="B617">
        <v>118.7342</v>
      </c>
      <c r="C617">
        <v>338.90089999999998</v>
      </c>
      <c r="D617">
        <v>344.9846</v>
      </c>
    </row>
    <row r="618" spans="1:4" x14ac:dyDescent="0.35">
      <c r="A618" t="s">
        <v>620</v>
      </c>
      <c r="B618">
        <v>119.04179999999999</v>
      </c>
      <c r="C618">
        <v>339.89670000000001</v>
      </c>
      <c r="D618">
        <v>318.93180000000001</v>
      </c>
    </row>
    <row r="619" spans="1:4" x14ac:dyDescent="0.35">
      <c r="A619" t="s">
        <v>621</v>
      </c>
      <c r="B619">
        <v>120.83069999999999</v>
      </c>
      <c r="C619">
        <v>338.12779999999998</v>
      </c>
      <c r="D619">
        <v>319.13959999999997</v>
      </c>
    </row>
    <row r="620" spans="1:4" x14ac:dyDescent="0.35">
      <c r="A620" t="s">
        <v>622</v>
      </c>
      <c r="B620">
        <v>122.0475</v>
      </c>
      <c r="C620">
        <v>334.0523</v>
      </c>
      <c r="D620">
        <v>322.471</v>
      </c>
    </row>
    <row r="621" spans="1:4" x14ac:dyDescent="0.35">
      <c r="A621" t="s">
        <v>623</v>
      </c>
      <c r="B621">
        <v>122.6443</v>
      </c>
      <c r="C621">
        <v>334.5804</v>
      </c>
      <c r="D621">
        <v>331.72</v>
      </c>
    </row>
    <row r="622" spans="1:4" x14ac:dyDescent="0.35">
      <c r="A622" t="s">
        <v>624</v>
      </c>
      <c r="B622">
        <v>120.7689</v>
      </c>
      <c r="C622">
        <v>329.33730000000003</v>
      </c>
      <c r="D622">
        <v>321.95909999999998</v>
      </c>
    </row>
    <row r="623" spans="1:4" x14ac:dyDescent="0.35">
      <c r="A623" t="s">
        <v>625</v>
      </c>
      <c r="B623">
        <v>121.9618</v>
      </c>
      <c r="C623">
        <v>315.30799999999999</v>
      </c>
      <c r="D623">
        <v>322.96530000000001</v>
      </c>
    </row>
    <row r="624" spans="1:4" x14ac:dyDescent="0.35">
      <c r="A624" t="s">
        <v>626</v>
      </c>
      <c r="B624">
        <v>126.69070000000001</v>
      </c>
      <c r="C624">
        <v>317.4708</v>
      </c>
      <c r="D624">
        <v>314.29509999999999</v>
      </c>
    </row>
    <row r="625" spans="1:4" x14ac:dyDescent="0.35">
      <c r="A625" t="s">
        <v>627</v>
      </c>
      <c r="B625">
        <v>130.19810000000001</v>
      </c>
      <c r="C625">
        <v>321.8972</v>
      </c>
      <c r="D625">
        <v>316.88650000000001</v>
      </c>
    </row>
    <row r="626" spans="1:4" x14ac:dyDescent="0.35">
      <c r="A626" t="s">
        <v>628</v>
      </c>
      <c r="B626">
        <v>134.46729999999999</v>
      </c>
      <c r="C626">
        <v>310.77710000000002</v>
      </c>
      <c r="D626">
        <v>308.65780000000001</v>
      </c>
    </row>
    <row r="627" spans="1:4" x14ac:dyDescent="0.35">
      <c r="A627" t="s">
        <v>629</v>
      </c>
      <c r="B627">
        <v>133.15270000000001</v>
      </c>
      <c r="C627">
        <v>306.19349999999997</v>
      </c>
      <c r="D627">
        <v>305.06970000000001</v>
      </c>
    </row>
    <row r="628" spans="1:4" x14ac:dyDescent="0.35">
      <c r="A628" t="s">
        <v>630</v>
      </c>
      <c r="B628">
        <v>130.59540000000001</v>
      </c>
      <c r="C628">
        <v>309.13929999999999</v>
      </c>
      <c r="D628">
        <v>296.25360000000001</v>
      </c>
    </row>
    <row r="629" spans="1:4" x14ac:dyDescent="0.35">
      <c r="A629" t="s">
        <v>631</v>
      </c>
      <c r="B629">
        <v>130.3194</v>
      </c>
      <c r="C629">
        <v>318.92059999999998</v>
      </c>
      <c r="D629">
        <v>302.26369999999997</v>
      </c>
    </row>
    <row r="630" spans="1:4" x14ac:dyDescent="0.35">
      <c r="A630" t="s">
        <v>632</v>
      </c>
      <c r="B630">
        <v>130.517</v>
      </c>
      <c r="C630">
        <v>319.11180000000002</v>
      </c>
      <c r="D630">
        <v>310.31979999999999</v>
      </c>
    </row>
    <row r="631" spans="1:4" x14ac:dyDescent="0.35">
      <c r="A631" t="s">
        <v>633</v>
      </c>
      <c r="B631">
        <v>133.458</v>
      </c>
      <c r="C631">
        <v>315.73680000000002</v>
      </c>
      <c r="D631">
        <v>308.31279999999998</v>
      </c>
    </row>
    <row r="632" spans="1:4" x14ac:dyDescent="0.35">
      <c r="A632" t="s">
        <v>634</v>
      </c>
      <c r="B632">
        <v>129.06780000000001</v>
      </c>
      <c r="C632">
        <v>314.96230000000003</v>
      </c>
      <c r="D632">
        <v>308.8365</v>
      </c>
    </row>
    <row r="633" spans="1:4" x14ac:dyDescent="0.35">
      <c r="A633" t="s">
        <v>635</v>
      </c>
      <c r="B633">
        <v>133.13030000000001</v>
      </c>
      <c r="C633">
        <v>321.61770000000001</v>
      </c>
      <c r="D633">
        <v>295.86529999999999</v>
      </c>
    </row>
    <row r="634" spans="1:4" x14ac:dyDescent="0.35">
      <c r="A634" t="s">
        <v>636</v>
      </c>
      <c r="B634">
        <v>132.76339999999999</v>
      </c>
      <c r="C634">
        <v>318.608</v>
      </c>
      <c r="D634">
        <v>293.37860000000001</v>
      </c>
    </row>
    <row r="635" spans="1:4" x14ac:dyDescent="0.35">
      <c r="A635" t="s">
        <v>637</v>
      </c>
      <c r="B635">
        <v>131.6874</v>
      </c>
      <c r="C635">
        <v>314.90190000000001</v>
      </c>
      <c r="D635">
        <v>293.09820000000002</v>
      </c>
    </row>
    <row r="636" spans="1:4" x14ac:dyDescent="0.35">
      <c r="A636" t="s">
        <v>638</v>
      </c>
      <c r="B636">
        <v>129.1002</v>
      </c>
      <c r="C636">
        <v>312.71980000000002</v>
      </c>
      <c r="D636">
        <v>317.2473</v>
      </c>
    </row>
    <row r="637" spans="1:4" x14ac:dyDescent="0.35">
      <c r="A637" t="s">
        <v>639</v>
      </c>
      <c r="B637">
        <v>124.9473</v>
      </c>
      <c r="C637">
        <v>308.36840000000001</v>
      </c>
      <c r="D637">
        <v>307.00760000000002</v>
      </c>
    </row>
    <row r="638" spans="1:4" x14ac:dyDescent="0.35">
      <c r="A638" t="s">
        <v>640</v>
      </c>
      <c r="B638">
        <v>127.0722</v>
      </c>
      <c r="C638">
        <v>309.02519999999998</v>
      </c>
      <c r="D638">
        <v>320.9701</v>
      </c>
    </row>
    <row r="639" spans="1:4" x14ac:dyDescent="0.35">
      <c r="A639" t="s">
        <v>641</v>
      </c>
      <c r="B639">
        <v>127.3095</v>
      </c>
      <c r="C639">
        <v>316.73970000000003</v>
      </c>
      <c r="D639">
        <v>330.89589999999998</v>
      </c>
    </row>
    <row r="640" spans="1:4" x14ac:dyDescent="0.35">
      <c r="A640" t="s">
        <v>642</v>
      </c>
      <c r="B640">
        <v>124.11669999999999</v>
      </c>
      <c r="C640">
        <v>318.37</v>
      </c>
      <c r="D640">
        <v>333.87700000000001</v>
      </c>
    </row>
    <row r="641" spans="1:4" x14ac:dyDescent="0.35">
      <c r="A641" t="s">
        <v>643</v>
      </c>
      <c r="B641">
        <v>120.9915</v>
      </c>
      <c r="C641">
        <v>317.25830000000002</v>
      </c>
      <c r="D641">
        <v>352.1585</v>
      </c>
    </row>
    <row r="642" spans="1:4" x14ac:dyDescent="0.35">
      <c r="A642" t="s">
        <v>644</v>
      </c>
      <c r="B642">
        <v>120.2298</v>
      </c>
      <c r="C642">
        <v>315.96350000000001</v>
      </c>
      <c r="D642">
        <v>356.30770000000001</v>
      </c>
    </row>
    <row r="643" spans="1:4" x14ac:dyDescent="0.35">
      <c r="A643" t="s">
        <v>645</v>
      </c>
      <c r="B643">
        <v>124.36060000000001</v>
      </c>
      <c r="C643">
        <v>308.72969999999998</v>
      </c>
      <c r="D643">
        <v>360.6902</v>
      </c>
    </row>
    <row r="644" spans="1:4" x14ac:dyDescent="0.35">
      <c r="A644" t="s">
        <v>646</v>
      </c>
      <c r="B644">
        <v>123.76609999999999</v>
      </c>
      <c r="C644">
        <v>312.93650000000002</v>
      </c>
      <c r="D644">
        <v>360.31400000000002</v>
      </c>
    </row>
    <row r="645" spans="1:4" x14ac:dyDescent="0.35">
      <c r="A645" t="s">
        <v>647</v>
      </c>
      <c r="B645">
        <v>120.14879999999999</v>
      </c>
      <c r="C645">
        <v>312.66129999999998</v>
      </c>
      <c r="D645">
        <v>373.9914</v>
      </c>
    </row>
    <row r="646" spans="1:4" x14ac:dyDescent="0.35">
      <c r="A646" t="s">
        <v>648</v>
      </c>
      <c r="B646">
        <v>119.6075</v>
      </c>
      <c r="C646">
        <v>311.90559999999999</v>
      </c>
      <c r="D646">
        <v>386.71069999999997</v>
      </c>
    </row>
    <row r="647" spans="1:4" x14ac:dyDescent="0.35">
      <c r="A647" t="s">
        <v>649</v>
      </c>
      <c r="B647">
        <v>119.00449999999999</v>
      </c>
      <c r="C647">
        <v>327.30250000000001</v>
      </c>
      <c r="D647">
        <v>379.7285</v>
      </c>
    </row>
    <row r="648" spans="1:4" x14ac:dyDescent="0.35">
      <c r="A648" t="s">
        <v>650</v>
      </c>
      <c r="B648">
        <v>112.8008</v>
      </c>
      <c r="C648">
        <v>328.86709999999999</v>
      </c>
      <c r="D648">
        <v>365.19420000000002</v>
      </c>
    </row>
    <row r="649" spans="1:4" x14ac:dyDescent="0.35">
      <c r="A649" t="s">
        <v>651</v>
      </c>
      <c r="B649">
        <v>112.7235</v>
      </c>
      <c r="C649">
        <v>325.27280000000002</v>
      </c>
      <c r="D649">
        <v>363.17680000000001</v>
      </c>
    </row>
    <row r="650" spans="1:4" x14ac:dyDescent="0.35">
      <c r="A650" t="s">
        <v>652</v>
      </c>
      <c r="B650">
        <v>112.24890000000001</v>
      </c>
      <c r="C650">
        <v>323.2921</v>
      </c>
      <c r="D650">
        <v>354.75900000000001</v>
      </c>
    </row>
    <row r="651" spans="1:4" x14ac:dyDescent="0.35">
      <c r="A651" t="s">
        <v>653</v>
      </c>
      <c r="B651">
        <v>113.86839999999999</v>
      </c>
      <c r="C651">
        <v>329.00420000000003</v>
      </c>
      <c r="D651">
        <v>354.2783</v>
      </c>
    </row>
    <row r="652" spans="1:4" x14ac:dyDescent="0.35">
      <c r="A652" t="s">
        <v>654</v>
      </c>
      <c r="B652">
        <v>118.2052</v>
      </c>
      <c r="C652">
        <v>329.65839999999997</v>
      </c>
      <c r="D652">
        <v>367.87970000000001</v>
      </c>
    </row>
    <row r="653" spans="1:4" x14ac:dyDescent="0.35">
      <c r="A653" t="s">
        <v>655</v>
      </c>
      <c r="B653">
        <v>120.94710000000001</v>
      </c>
      <c r="C653">
        <v>322.71530000000001</v>
      </c>
      <c r="D653">
        <v>363.0668</v>
      </c>
    </row>
    <row r="654" spans="1:4" x14ac:dyDescent="0.35">
      <c r="A654" t="s">
        <v>656</v>
      </c>
      <c r="B654">
        <v>120.3466</v>
      </c>
      <c r="C654">
        <v>327.28989999999999</v>
      </c>
      <c r="D654">
        <v>362.80020000000002</v>
      </c>
    </row>
    <row r="655" spans="1:4" x14ac:dyDescent="0.35">
      <c r="A655" t="s">
        <v>657</v>
      </c>
      <c r="B655">
        <v>117.75960000000001</v>
      </c>
      <c r="C655">
        <v>324.11930000000001</v>
      </c>
      <c r="D655">
        <v>363.63220000000001</v>
      </c>
    </row>
    <row r="656" spans="1:4" x14ac:dyDescent="0.35">
      <c r="A656" t="s">
        <v>658</v>
      </c>
      <c r="B656">
        <v>124.0286</v>
      </c>
      <c r="C656">
        <v>333.45190000000002</v>
      </c>
      <c r="D656">
        <v>373.21170000000001</v>
      </c>
    </row>
    <row r="657" spans="1:4" x14ac:dyDescent="0.35">
      <c r="A657" t="s">
        <v>659</v>
      </c>
      <c r="B657">
        <v>124.2253</v>
      </c>
      <c r="C657">
        <v>338.99549999999999</v>
      </c>
      <c r="D657">
        <v>349.07580000000002</v>
      </c>
    </row>
    <row r="658" spans="1:4" x14ac:dyDescent="0.35">
      <c r="A658" t="s">
        <v>660</v>
      </c>
      <c r="B658">
        <v>124.3096</v>
      </c>
      <c r="C658">
        <v>336.8254</v>
      </c>
      <c r="D658">
        <v>342.9683</v>
      </c>
    </row>
    <row r="659" spans="1:4" x14ac:dyDescent="0.35">
      <c r="A659" t="s">
        <v>661</v>
      </c>
      <c r="B659">
        <v>124.29940000000001</v>
      </c>
      <c r="C659">
        <v>343.4588</v>
      </c>
      <c r="D659">
        <v>345.339</v>
      </c>
    </row>
    <row r="660" spans="1:4" x14ac:dyDescent="0.35">
      <c r="A660" t="s">
        <v>662</v>
      </c>
      <c r="B660">
        <v>124.84269999999999</v>
      </c>
      <c r="C660">
        <v>343.90750000000003</v>
      </c>
      <c r="D660">
        <v>358.19549999999998</v>
      </c>
    </row>
    <row r="661" spans="1:4" x14ac:dyDescent="0.35">
      <c r="A661" t="s">
        <v>663</v>
      </c>
      <c r="B661">
        <v>124.5326</v>
      </c>
      <c r="C661">
        <v>348.435</v>
      </c>
      <c r="D661">
        <v>353.14260000000002</v>
      </c>
    </row>
    <row r="662" spans="1:4" x14ac:dyDescent="0.35">
      <c r="A662" t="s">
        <v>664</v>
      </c>
      <c r="B662">
        <v>123.16119999999999</v>
      </c>
      <c r="C662">
        <v>351.07859999999999</v>
      </c>
      <c r="D662">
        <v>333.9948</v>
      </c>
    </row>
    <row r="663" spans="1:4" x14ac:dyDescent="0.35">
      <c r="A663" t="s">
        <v>665</v>
      </c>
      <c r="B663">
        <v>121.8703</v>
      </c>
      <c r="C663">
        <v>346.74939999999998</v>
      </c>
      <c r="D663">
        <v>340.4495</v>
      </c>
    </row>
    <row r="664" spans="1:4" x14ac:dyDescent="0.35">
      <c r="A664" t="s">
        <v>666</v>
      </c>
      <c r="B664">
        <v>121.83920000000001</v>
      </c>
      <c r="C664">
        <v>343.517</v>
      </c>
      <c r="D664">
        <v>334.2054</v>
      </c>
    </row>
    <row r="665" spans="1:4" x14ac:dyDescent="0.35">
      <c r="A665" t="s">
        <v>667</v>
      </c>
      <c r="B665">
        <v>120.57040000000001</v>
      </c>
      <c r="C665">
        <v>348.96570000000003</v>
      </c>
      <c r="D665">
        <v>322.66539999999998</v>
      </c>
    </row>
    <row r="666" spans="1:4" x14ac:dyDescent="0.35">
      <c r="A666" t="s">
        <v>668</v>
      </c>
      <c r="B666">
        <v>118.9111</v>
      </c>
      <c r="C666">
        <v>347.3175</v>
      </c>
      <c r="D666">
        <v>316.85219999999998</v>
      </c>
    </row>
    <row r="667" spans="1:4" x14ac:dyDescent="0.35">
      <c r="A667" t="s">
        <v>669</v>
      </c>
      <c r="B667">
        <v>119.2122</v>
      </c>
      <c r="C667">
        <v>345.3202</v>
      </c>
      <c r="D667">
        <v>315.27640000000002</v>
      </c>
    </row>
    <row r="668" spans="1:4" x14ac:dyDescent="0.35">
      <c r="A668" t="s">
        <v>670</v>
      </c>
      <c r="B668">
        <v>118.6533</v>
      </c>
      <c r="C668">
        <v>340.50599999999997</v>
      </c>
      <c r="D668">
        <v>309.77850000000001</v>
      </c>
    </row>
    <row r="669" spans="1:4" x14ac:dyDescent="0.35">
      <c r="A669" t="s">
        <v>671</v>
      </c>
      <c r="B669">
        <v>122.32550000000001</v>
      </c>
      <c r="C669">
        <v>342.77499999999998</v>
      </c>
      <c r="D669">
        <v>290.10430000000002</v>
      </c>
    </row>
    <row r="670" spans="1:4" x14ac:dyDescent="0.35">
      <c r="A670" t="s">
        <v>672</v>
      </c>
      <c r="B670">
        <v>116.0552</v>
      </c>
      <c r="C670">
        <v>353.6472</v>
      </c>
      <c r="D670">
        <v>298.18150000000003</v>
      </c>
    </row>
    <row r="671" spans="1:4" x14ac:dyDescent="0.35">
      <c r="A671" t="s">
        <v>673</v>
      </c>
      <c r="B671">
        <v>118.664</v>
      </c>
      <c r="C671">
        <v>348.12939999999998</v>
      </c>
      <c r="D671">
        <v>309.97719999999998</v>
      </c>
    </row>
    <row r="672" spans="1:4" x14ac:dyDescent="0.35">
      <c r="A672" t="s">
        <v>674</v>
      </c>
      <c r="B672">
        <v>121.7072</v>
      </c>
      <c r="C672">
        <v>348.35599999999999</v>
      </c>
      <c r="D672">
        <v>316.26940000000002</v>
      </c>
    </row>
    <row r="673" spans="1:4" x14ac:dyDescent="0.35">
      <c r="A673" t="s">
        <v>675</v>
      </c>
      <c r="B673">
        <v>116.81019999999999</v>
      </c>
      <c r="C673">
        <v>355.91640000000001</v>
      </c>
      <c r="D673">
        <v>305.8252</v>
      </c>
    </row>
    <row r="674" spans="1:4" x14ac:dyDescent="0.35">
      <c r="A674" t="s">
        <v>676</v>
      </c>
      <c r="B674">
        <v>116.0587</v>
      </c>
      <c r="C674">
        <v>355.59370000000001</v>
      </c>
      <c r="D674">
        <v>304.14940000000001</v>
      </c>
    </row>
    <row r="675" spans="1:4" x14ac:dyDescent="0.35">
      <c r="A675" t="s">
        <v>677</v>
      </c>
      <c r="B675">
        <v>115.2458</v>
      </c>
      <c r="C675">
        <v>358.11770000000001</v>
      </c>
      <c r="D675">
        <v>304.25720000000001</v>
      </c>
    </row>
    <row r="676" spans="1:4" x14ac:dyDescent="0.35">
      <c r="A676" t="s">
        <v>678</v>
      </c>
      <c r="B676">
        <v>112.0917</v>
      </c>
      <c r="C676">
        <v>352.55739999999997</v>
      </c>
      <c r="D676">
        <v>309.94260000000003</v>
      </c>
    </row>
    <row r="677" spans="1:4" x14ac:dyDescent="0.35">
      <c r="A677" t="s">
        <v>679</v>
      </c>
      <c r="B677">
        <v>110.40560000000001</v>
      </c>
      <c r="C677">
        <v>354.93169999999998</v>
      </c>
      <c r="D677">
        <v>316.39370000000002</v>
      </c>
    </row>
    <row r="678" spans="1:4" x14ac:dyDescent="0.35">
      <c r="A678" t="s">
        <v>680</v>
      </c>
      <c r="B678">
        <v>108.0236</v>
      </c>
      <c r="C678">
        <v>354.03859999999997</v>
      </c>
      <c r="D678">
        <v>309.67149999999998</v>
      </c>
    </row>
    <row r="679" spans="1:4" x14ac:dyDescent="0.35">
      <c r="A679" t="s">
        <v>681</v>
      </c>
      <c r="B679">
        <v>111.9212</v>
      </c>
      <c r="C679">
        <v>359.41559999999998</v>
      </c>
      <c r="D679">
        <v>310.60500000000002</v>
      </c>
    </row>
    <row r="680" spans="1:4" x14ac:dyDescent="0.35">
      <c r="A680" t="s">
        <v>682</v>
      </c>
      <c r="B680">
        <v>114.081</v>
      </c>
      <c r="C680">
        <v>365.9796</v>
      </c>
      <c r="D680">
        <v>315.0686</v>
      </c>
    </row>
    <row r="681" spans="1:4" x14ac:dyDescent="0.35">
      <c r="A681" t="s">
        <v>683</v>
      </c>
      <c r="B681">
        <v>117.06619999999999</v>
      </c>
      <c r="C681">
        <v>380.58460000000002</v>
      </c>
      <c r="D681">
        <v>329.31509999999997</v>
      </c>
    </row>
    <row r="682" spans="1:4" x14ac:dyDescent="0.35">
      <c r="A682" t="s">
        <v>684</v>
      </c>
      <c r="B682">
        <v>118.8156</v>
      </c>
      <c r="C682">
        <v>384.01839999999999</v>
      </c>
      <c r="D682">
        <v>336.53440000000001</v>
      </c>
    </row>
    <row r="683" spans="1:4" x14ac:dyDescent="0.35">
      <c r="A683" t="s">
        <v>685</v>
      </c>
      <c r="B683">
        <v>116.2092</v>
      </c>
      <c r="C683">
        <v>386.01060000000001</v>
      </c>
      <c r="D683">
        <v>344.78530000000001</v>
      </c>
    </row>
    <row r="684" spans="1:4" x14ac:dyDescent="0.35">
      <c r="A684" t="s">
        <v>686</v>
      </c>
      <c r="B684">
        <v>115.0425</v>
      </c>
      <c r="C684">
        <v>387.2491</v>
      </c>
      <c r="D684">
        <v>345.84370000000001</v>
      </c>
    </row>
    <row r="685" spans="1:4" x14ac:dyDescent="0.35">
      <c r="A685" t="s">
        <v>687</v>
      </c>
      <c r="B685">
        <v>116.2205</v>
      </c>
      <c r="C685">
        <v>385.31389999999999</v>
      </c>
      <c r="D685">
        <v>360.99009999999998</v>
      </c>
    </row>
    <row r="686" spans="1:4" x14ac:dyDescent="0.35">
      <c r="A686" t="s">
        <v>688</v>
      </c>
      <c r="B686">
        <v>113.45959999999999</v>
      </c>
      <c r="C686">
        <v>387.38650000000001</v>
      </c>
      <c r="D686">
        <v>365.65620000000001</v>
      </c>
    </row>
    <row r="687" spans="1:4" x14ac:dyDescent="0.35">
      <c r="A687" t="s">
        <v>689</v>
      </c>
      <c r="B687">
        <v>115.13509999999999</v>
      </c>
      <c r="C687">
        <v>385.78469999999999</v>
      </c>
      <c r="D687">
        <v>356.52730000000003</v>
      </c>
    </row>
    <row r="688" spans="1:4" x14ac:dyDescent="0.35">
      <c r="A688" t="s">
        <v>690</v>
      </c>
      <c r="B688">
        <v>114.6289</v>
      </c>
      <c r="C688">
        <v>386.87200000000001</v>
      </c>
      <c r="D688">
        <v>372.0625</v>
      </c>
    </row>
    <row r="689" spans="1:4" x14ac:dyDescent="0.35">
      <c r="A689" t="s">
        <v>691</v>
      </c>
      <c r="B689">
        <v>113.81829999999999</v>
      </c>
      <c r="C689">
        <v>394.70760000000001</v>
      </c>
      <c r="D689">
        <v>380.14359999999999</v>
      </c>
    </row>
    <row r="690" spans="1:4" x14ac:dyDescent="0.35">
      <c r="A690" t="s">
        <v>692</v>
      </c>
      <c r="B690">
        <v>115.4945</v>
      </c>
      <c r="C690">
        <v>388.90480000000002</v>
      </c>
      <c r="D690">
        <v>375.33080000000001</v>
      </c>
    </row>
    <row r="691" spans="1:4" x14ac:dyDescent="0.35">
      <c r="A691" t="s">
        <v>693</v>
      </c>
      <c r="B691">
        <v>116.5719</v>
      </c>
      <c r="C691">
        <v>395.7253</v>
      </c>
      <c r="D691">
        <v>370.1739</v>
      </c>
    </row>
    <row r="692" spans="1:4" x14ac:dyDescent="0.35">
      <c r="A692" t="s">
        <v>694</v>
      </c>
      <c r="B692">
        <v>115.7796</v>
      </c>
      <c r="C692">
        <v>403.73739999999998</v>
      </c>
      <c r="D692">
        <v>373.68759999999997</v>
      </c>
    </row>
    <row r="693" spans="1:4" x14ac:dyDescent="0.35">
      <c r="A693" t="s">
        <v>695</v>
      </c>
      <c r="B693">
        <v>118.5429</v>
      </c>
      <c r="C693">
        <v>403.13889999999998</v>
      </c>
      <c r="D693">
        <v>379.12490000000003</v>
      </c>
    </row>
    <row r="694" spans="1:4" x14ac:dyDescent="0.35">
      <c r="A694" t="s">
        <v>696</v>
      </c>
      <c r="B694">
        <v>116.0538</v>
      </c>
      <c r="C694">
        <v>390.62220000000002</v>
      </c>
      <c r="D694">
        <v>381.58530000000002</v>
      </c>
    </row>
    <row r="695" spans="1:4" x14ac:dyDescent="0.35">
      <c r="A695" t="s">
        <v>697</v>
      </c>
      <c r="B695">
        <v>117.5393</v>
      </c>
      <c r="C695">
        <v>387.18819999999999</v>
      </c>
      <c r="D695">
        <v>385.37759999999997</v>
      </c>
    </row>
    <row r="696" spans="1:4" x14ac:dyDescent="0.35">
      <c r="A696" t="s">
        <v>698</v>
      </c>
      <c r="B696">
        <v>118.9894</v>
      </c>
      <c r="C696">
        <v>394.90820000000002</v>
      </c>
      <c r="D696">
        <v>405.76429999999999</v>
      </c>
    </row>
    <row r="697" spans="1:4" x14ac:dyDescent="0.35">
      <c r="A697" t="s">
        <v>699</v>
      </c>
      <c r="B697">
        <v>118.30240000000001</v>
      </c>
      <c r="C697">
        <v>394.88630000000001</v>
      </c>
      <c r="D697">
        <v>419.25060000000002</v>
      </c>
    </row>
    <row r="698" spans="1:4" x14ac:dyDescent="0.35">
      <c r="A698" t="s">
        <v>700</v>
      </c>
      <c r="B698">
        <v>119.1242</v>
      </c>
      <c r="C698">
        <v>389.12310000000002</v>
      </c>
      <c r="D698">
        <v>421.88709999999998</v>
      </c>
    </row>
    <row r="699" spans="1:4" x14ac:dyDescent="0.35">
      <c r="A699" t="s">
        <v>701</v>
      </c>
      <c r="B699">
        <v>116.2269</v>
      </c>
      <c r="C699">
        <v>386.29899999999998</v>
      </c>
      <c r="D699">
        <v>434.20949999999999</v>
      </c>
    </row>
    <row r="700" spans="1:4" x14ac:dyDescent="0.35">
      <c r="A700" t="s">
        <v>702</v>
      </c>
      <c r="B700">
        <v>118.4422</v>
      </c>
      <c r="C700">
        <v>391.31330000000003</v>
      </c>
      <c r="D700">
        <v>421.19729999999998</v>
      </c>
    </row>
    <row r="701" spans="1:4" x14ac:dyDescent="0.35">
      <c r="A701" t="s">
        <v>703</v>
      </c>
      <c r="B701">
        <v>118.0522</v>
      </c>
      <c r="C701">
        <v>394.64909999999998</v>
      </c>
      <c r="D701">
        <v>426.49009999999998</v>
      </c>
    </row>
    <row r="702" spans="1:4" x14ac:dyDescent="0.35">
      <c r="A702" t="s">
        <v>704</v>
      </c>
      <c r="B702">
        <v>116.8712</v>
      </c>
      <c r="C702">
        <v>393.3503</v>
      </c>
      <c r="D702">
        <v>450.52719999999999</v>
      </c>
    </row>
    <row r="703" spans="1:4" x14ac:dyDescent="0.35">
      <c r="A703" t="s">
        <v>705</v>
      </c>
      <c r="B703">
        <v>119.3968</v>
      </c>
      <c r="C703">
        <v>391.30430000000001</v>
      </c>
      <c r="D703">
        <v>447.83600000000001</v>
      </c>
    </row>
    <row r="704" spans="1:4" x14ac:dyDescent="0.35">
      <c r="A704" t="s">
        <v>706</v>
      </c>
      <c r="B704">
        <v>117.77379999999999</v>
      </c>
      <c r="C704">
        <v>389.12349999999998</v>
      </c>
      <c r="D704">
        <v>436.83170000000001</v>
      </c>
    </row>
    <row r="705" spans="1:4" x14ac:dyDescent="0.35">
      <c r="A705" t="s">
        <v>707</v>
      </c>
      <c r="B705">
        <v>114.5483</v>
      </c>
      <c r="C705">
        <v>383.88690000000003</v>
      </c>
      <c r="D705">
        <v>428.60480000000001</v>
      </c>
    </row>
    <row r="706" spans="1:4" x14ac:dyDescent="0.35">
      <c r="A706" t="s">
        <v>708</v>
      </c>
      <c r="B706">
        <v>111.0814</v>
      </c>
      <c r="C706">
        <v>393.41550000000001</v>
      </c>
      <c r="D706">
        <v>415.0489</v>
      </c>
    </row>
    <row r="707" spans="1:4" x14ac:dyDescent="0.35">
      <c r="A707" t="s">
        <v>709</v>
      </c>
      <c r="B707">
        <v>112.48099999999999</v>
      </c>
      <c r="C707">
        <v>391.63049999999998</v>
      </c>
      <c r="D707">
        <v>405.6146</v>
      </c>
    </row>
    <row r="708" spans="1:4" x14ac:dyDescent="0.35">
      <c r="A708" t="s">
        <v>710</v>
      </c>
      <c r="B708">
        <v>109.68089999999999</v>
      </c>
      <c r="C708">
        <v>398.96109999999999</v>
      </c>
      <c r="D708">
        <v>401.35180000000003</v>
      </c>
    </row>
    <row r="709" spans="1:4" x14ac:dyDescent="0.35">
      <c r="A709" t="s">
        <v>711</v>
      </c>
      <c r="B709">
        <v>113.64409999999999</v>
      </c>
      <c r="C709">
        <v>408.28730000000002</v>
      </c>
      <c r="D709">
        <v>384.99149999999997</v>
      </c>
    </row>
    <row r="710" spans="1:4" x14ac:dyDescent="0.35">
      <c r="A710" t="s">
        <v>712</v>
      </c>
      <c r="B710">
        <v>109.0528</v>
      </c>
      <c r="C710">
        <v>414.56639999999999</v>
      </c>
      <c r="D710">
        <v>385.38380000000001</v>
      </c>
    </row>
    <row r="711" spans="1:4" x14ac:dyDescent="0.35">
      <c r="A711" t="s">
        <v>713</v>
      </c>
      <c r="B711">
        <v>112.86150000000001</v>
      </c>
      <c r="C711">
        <v>412.0095</v>
      </c>
      <c r="D711">
        <v>396.17579999999998</v>
      </c>
    </row>
    <row r="712" spans="1:4" x14ac:dyDescent="0.35">
      <c r="A712" t="s">
        <v>714</v>
      </c>
      <c r="B712">
        <v>113.38420000000001</v>
      </c>
      <c r="C712">
        <v>414.63139999999999</v>
      </c>
      <c r="D712">
        <v>385.74459999999999</v>
      </c>
    </row>
    <row r="713" spans="1:4" x14ac:dyDescent="0.35">
      <c r="A713" t="s">
        <v>715</v>
      </c>
      <c r="B713">
        <v>113.21040000000001</v>
      </c>
      <c r="C713">
        <v>414.6001</v>
      </c>
      <c r="D713">
        <v>403.95519999999999</v>
      </c>
    </row>
    <row r="714" spans="1:4" x14ac:dyDescent="0.35">
      <c r="A714" t="s">
        <v>716</v>
      </c>
      <c r="B714">
        <v>112.02809999999999</v>
      </c>
      <c r="C714">
        <v>409.13549999999998</v>
      </c>
      <c r="D714">
        <v>410.4187</v>
      </c>
    </row>
    <row r="715" spans="1:4" x14ac:dyDescent="0.35">
      <c r="A715" t="s">
        <v>717</v>
      </c>
      <c r="B715">
        <v>112.97110000000001</v>
      </c>
      <c r="C715">
        <v>411.24919999999997</v>
      </c>
      <c r="D715">
        <v>423.53879999999998</v>
      </c>
    </row>
    <row r="716" spans="1:4" x14ac:dyDescent="0.35">
      <c r="A716" t="s">
        <v>718</v>
      </c>
      <c r="B716">
        <v>112.93129999999999</v>
      </c>
      <c r="C716">
        <v>404.15609999999998</v>
      </c>
      <c r="D716">
        <v>415.4907</v>
      </c>
    </row>
    <row r="717" spans="1:4" x14ac:dyDescent="0.35">
      <c r="A717" t="s">
        <v>719</v>
      </c>
      <c r="B717">
        <v>115.4971</v>
      </c>
      <c r="C717">
        <v>411.53899999999999</v>
      </c>
      <c r="D717">
        <v>426.51429999999999</v>
      </c>
    </row>
    <row r="718" spans="1:4" x14ac:dyDescent="0.35">
      <c r="A718" t="s">
        <v>720</v>
      </c>
      <c r="B718">
        <v>115.80759999999999</v>
      </c>
      <c r="C718">
        <v>408.79840000000002</v>
      </c>
      <c r="D718">
        <v>412.99599999999998</v>
      </c>
    </row>
    <row r="719" spans="1:4" x14ac:dyDescent="0.35">
      <c r="A719" t="s">
        <v>721</v>
      </c>
      <c r="B719">
        <v>116.20269999999999</v>
      </c>
      <c r="C719">
        <v>410.15170000000001</v>
      </c>
      <c r="D719">
        <v>424.40800000000002</v>
      </c>
    </row>
    <row r="720" spans="1:4" x14ac:dyDescent="0.35">
      <c r="A720" t="s">
        <v>722</v>
      </c>
      <c r="B720">
        <v>115.40689999999999</v>
      </c>
      <c r="C720">
        <v>412.01670000000001</v>
      </c>
      <c r="D720">
        <v>426.83629999999999</v>
      </c>
    </row>
    <row r="721" spans="1:4" x14ac:dyDescent="0.35">
      <c r="A721" t="s">
        <v>723</v>
      </c>
      <c r="B721">
        <v>115.3216</v>
      </c>
      <c r="C721">
        <v>410.53769999999997</v>
      </c>
      <c r="D721">
        <v>434.21859999999998</v>
      </c>
    </row>
    <row r="722" spans="1:4" x14ac:dyDescent="0.35">
      <c r="A722" t="s">
        <v>724</v>
      </c>
      <c r="B722">
        <v>116.0802</v>
      </c>
      <c r="C722">
        <v>414.28559999999999</v>
      </c>
      <c r="D722">
        <v>419.40210000000002</v>
      </c>
    </row>
    <row r="723" spans="1:4" x14ac:dyDescent="0.35">
      <c r="A723" t="s">
        <v>725</v>
      </c>
      <c r="B723">
        <v>112.2218</v>
      </c>
      <c r="C723">
        <v>411.46319999999997</v>
      </c>
      <c r="D723">
        <v>408.51479999999998</v>
      </c>
    </row>
    <row r="724" spans="1:4" x14ac:dyDescent="0.35">
      <c r="A724" t="s">
        <v>726</v>
      </c>
      <c r="B724">
        <v>109.2801</v>
      </c>
      <c r="C724">
        <v>416.99599999999998</v>
      </c>
      <c r="D724">
        <v>416.12880000000001</v>
      </c>
    </row>
    <row r="725" spans="1:4" x14ac:dyDescent="0.35">
      <c r="A725" t="s">
        <v>727</v>
      </c>
      <c r="B725">
        <v>110.961</v>
      </c>
      <c r="C725">
        <v>408.77890000000002</v>
      </c>
      <c r="D725">
        <v>404.67910000000001</v>
      </c>
    </row>
    <row r="726" spans="1:4" x14ac:dyDescent="0.35">
      <c r="A726" t="s">
        <v>728</v>
      </c>
      <c r="B726">
        <v>111.3854</v>
      </c>
      <c r="C726">
        <v>409.67230000000001</v>
      </c>
      <c r="D726">
        <v>410.56760000000003</v>
      </c>
    </row>
    <row r="727" spans="1:4" x14ac:dyDescent="0.35">
      <c r="A727" t="s">
        <v>729</v>
      </c>
      <c r="B727">
        <v>111.02070000000001</v>
      </c>
      <c r="C727">
        <v>421.88339999999999</v>
      </c>
      <c r="D727">
        <v>394.286</v>
      </c>
    </row>
    <row r="728" spans="1:4" x14ac:dyDescent="0.35">
      <c r="A728" t="s">
        <v>730</v>
      </c>
      <c r="B728">
        <v>111.1061</v>
      </c>
      <c r="C728">
        <v>415.71980000000002</v>
      </c>
      <c r="D728">
        <v>404.66989999999998</v>
      </c>
    </row>
    <row r="729" spans="1:4" x14ac:dyDescent="0.35">
      <c r="A729" t="s">
        <v>731</v>
      </c>
      <c r="B729">
        <v>111.9259</v>
      </c>
      <c r="C729">
        <v>411.63330000000002</v>
      </c>
      <c r="D729">
        <v>390.19479999999999</v>
      </c>
    </row>
    <row r="730" spans="1:4" x14ac:dyDescent="0.35">
      <c r="A730" t="s">
        <v>732</v>
      </c>
      <c r="B730">
        <v>110.7684</v>
      </c>
      <c r="C730">
        <v>414.93790000000001</v>
      </c>
      <c r="D730">
        <v>396.93200000000002</v>
      </c>
    </row>
    <row r="731" spans="1:4" x14ac:dyDescent="0.35">
      <c r="A731" t="s">
        <v>733</v>
      </c>
      <c r="B731">
        <v>109.10120000000001</v>
      </c>
      <c r="C731">
        <v>416.17680000000001</v>
      </c>
      <c r="D731">
        <v>404.67489999999998</v>
      </c>
    </row>
    <row r="732" spans="1:4" x14ac:dyDescent="0.35">
      <c r="A732" t="s">
        <v>734</v>
      </c>
      <c r="B732">
        <v>109.5732</v>
      </c>
      <c r="C732">
        <v>418.49169999999998</v>
      </c>
      <c r="D732">
        <v>396.52170000000001</v>
      </c>
    </row>
    <row r="733" spans="1:4" x14ac:dyDescent="0.35">
      <c r="A733" t="s">
        <v>735</v>
      </c>
      <c r="B733">
        <v>107.49299999999999</v>
      </c>
      <c r="C733">
        <v>421.69510000000002</v>
      </c>
      <c r="D733">
        <v>403.72809999999998</v>
      </c>
    </row>
    <row r="734" spans="1:4" x14ac:dyDescent="0.35">
      <c r="A734" t="s">
        <v>736</v>
      </c>
      <c r="B734">
        <v>108.41759999999999</v>
      </c>
      <c r="C734">
        <v>425.85149999999999</v>
      </c>
      <c r="D734">
        <v>407.11869999999999</v>
      </c>
    </row>
    <row r="735" spans="1:4" x14ac:dyDescent="0.35">
      <c r="A735" t="s">
        <v>737</v>
      </c>
      <c r="B735">
        <v>104.82989999999999</v>
      </c>
      <c r="C735">
        <v>433.12389999999999</v>
      </c>
      <c r="D735">
        <v>400.8109</v>
      </c>
    </row>
    <row r="736" spans="1:4" x14ac:dyDescent="0.35">
      <c r="A736" t="s">
        <v>738</v>
      </c>
      <c r="B736">
        <v>107.0528</v>
      </c>
      <c r="C736">
        <v>435.91989999999998</v>
      </c>
      <c r="D736">
        <v>389.07920000000001</v>
      </c>
    </row>
    <row r="737" spans="1:4" x14ac:dyDescent="0.35">
      <c r="A737" t="s">
        <v>739</v>
      </c>
      <c r="B737">
        <v>108.1127</v>
      </c>
      <c r="C737">
        <v>434.4701</v>
      </c>
      <c r="D737">
        <v>367.03390000000002</v>
      </c>
    </row>
    <row r="738" spans="1:4" x14ac:dyDescent="0.35">
      <c r="A738" t="s">
        <v>740</v>
      </c>
      <c r="B738">
        <v>108.7111</v>
      </c>
      <c r="C738">
        <v>439.00170000000003</v>
      </c>
      <c r="D738">
        <v>371.10820000000001</v>
      </c>
    </row>
    <row r="739" spans="1:4" x14ac:dyDescent="0.35">
      <c r="A739" t="s">
        <v>741</v>
      </c>
      <c r="B739">
        <v>110.9132</v>
      </c>
      <c r="C739">
        <v>451.82229999999998</v>
      </c>
      <c r="D739">
        <v>354.28429999999997</v>
      </c>
    </row>
    <row r="740" spans="1:4" x14ac:dyDescent="0.35">
      <c r="A740" t="s">
        <v>742</v>
      </c>
      <c r="B740">
        <v>114.7158</v>
      </c>
      <c r="C740">
        <v>451.05399999999997</v>
      </c>
      <c r="D740">
        <v>355.49459999999999</v>
      </c>
    </row>
    <row r="741" spans="1:4" x14ac:dyDescent="0.35">
      <c r="A741" t="s">
        <v>743</v>
      </c>
      <c r="B741">
        <v>117.11369999999999</v>
      </c>
      <c r="C741">
        <v>444.63630000000001</v>
      </c>
      <c r="D741">
        <v>352.89</v>
      </c>
    </row>
    <row r="742" spans="1:4" x14ac:dyDescent="0.35">
      <c r="A742" t="s">
        <v>744</v>
      </c>
      <c r="B742">
        <v>112.9254</v>
      </c>
      <c r="C742">
        <v>452.21159999999998</v>
      </c>
      <c r="D742">
        <v>360.35180000000003</v>
      </c>
    </row>
    <row r="743" spans="1:4" x14ac:dyDescent="0.35">
      <c r="A743" t="s">
        <v>745</v>
      </c>
      <c r="B743">
        <v>110.11620000000001</v>
      </c>
      <c r="C743">
        <v>451.5256</v>
      </c>
      <c r="D743">
        <v>357.29770000000002</v>
      </c>
    </row>
    <row r="744" spans="1:4" x14ac:dyDescent="0.35">
      <c r="A744" t="s">
        <v>746</v>
      </c>
      <c r="B744">
        <v>108.79219999999999</v>
      </c>
      <c r="C744">
        <v>437.17320000000001</v>
      </c>
      <c r="D744">
        <v>353.97840000000002</v>
      </c>
    </row>
    <row r="745" spans="1:4" x14ac:dyDescent="0.35">
      <c r="A745" t="s">
        <v>747</v>
      </c>
      <c r="B745">
        <v>108.8925</v>
      </c>
      <c r="C745">
        <v>442.8931</v>
      </c>
      <c r="D745">
        <v>362.03539999999998</v>
      </c>
    </row>
    <row r="746" spans="1:4" x14ac:dyDescent="0.35">
      <c r="A746" t="s">
        <v>748</v>
      </c>
      <c r="B746">
        <v>110.0698</v>
      </c>
      <c r="C746">
        <v>439.47719999999998</v>
      </c>
      <c r="D746">
        <v>365.89409999999998</v>
      </c>
    </row>
    <row r="747" spans="1:4" x14ac:dyDescent="0.35">
      <c r="A747" t="s">
        <v>749</v>
      </c>
      <c r="B747">
        <v>108.5271</v>
      </c>
      <c r="C747">
        <v>439.00700000000001</v>
      </c>
      <c r="D747">
        <v>369.58420000000001</v>
      </c>
    </row>
    <row r="748" spans="1:4" x14ac:dyDescent="0.35">
      <c r="A748" t="s">
        <v>750</v>
      </c>
      <c r="B748">
        <v>108.9768</v>
      </c>
      <c r="C748">
        <v>441.32549999999998</v>
      </c>
      <c r="D748">
        <v>375.03019999999998</v>
      </c>
    </row>
    <row r="749" spans="1:4" x14ac:dyDescent="0.35">
      <c r="A749" t="s">
        <v>751</v>
      </c>
      <c r="B749">
        <v>107.3857</v>
      </c>
      <c r="C749">
        <v>442.71559999999999</v>
      </c>
      <c r="D749">
        <v>358.3426</v>
      </c>
    </row>
    <row r="750" spans="1:4" x14ac:dyDescent="0.35">
      <c r="A750" t="s">
        <v>752</v>
      </c>
      <c r="B750">
        <v>106.1228</v>
      </c>
      <c r="C750">
        <v>447.58069999999998</v>
      </c>
      <c r="D750">
        <v>366.77300000000002</v>
      </c>
    </row>
    <row r="751" spans="1:4" x14ac:dyDescent="0.35">
      <c r="A751" t="s">
        <v>753</v>
      </c>
      <c r="B751">
        <v>103.2201</v>
      </c>
      <c r="C751">
        <v>444.7944</v>
      </c>
      <c r="D751">
        <v>373.7799</v>
      </c>
    </row>
    <row r="752" spans="1:4" x14ac:dyDescent="0.35">
      <c r="A752" t="s">
        <v>754</v>
      </c>
      <c r="B752">
        <v>101.37220000000001</v>
      </c>
      <c r="C752">
        <v>448.35989999999998</v>
      </c>
      <c r="D752">
        <v>362.75099999999998</v>
      </c>
    </row>
    <row r="753" spans="1:4" x14ac:dyDescent="0.35">
      <c r="A753" t="s">
        <v>755</v>
      </c>
      <c r="B753">
        <v>98.707999999999998</v>
      </c>
      <c r="C753">
        <v>446.74610000000001</v>
      </c>
      <c r="D753">
        <v>360.30259999999998</v>
      </c>
    </row>
    <row r="754" spans="1:4" x14ac:dyDescent="0.35">
      <c r="A754" t="s">
        <v>756</v>
      </c>
      <c r="B754">
        <v>96.838800000000006</v>
      </c>
      <c r="C754">
        <v>451.85449999999997</v>
      </c>
      <c r="D754">
        <v>360.07600000000002</v>
      </c>
    </row>
    <row r="755" spans="1:4" x14ac:dyDescent="0.35">
      <c r="A755" t="s">
        <v>757</v>
      </c>
      <c r="B755">
        <v>98.940700000000007</v>
      </c>
      <c r="C755">
        <v>456.17579999999998</v>
      </c>
      <c r="D755">
        <v>358.82330000000002</v>
      </c>
    </row>
    <row r="756" spans="1:4" x14ac:dyDescent="0.35">
      <c r="A756" t="s">
        <v>758</v>
      </c>
      <c r="B756">
        <v>97.118600000000001</v>
      </c>
      <c r="C756">
        <v>449.94889999999998</v>
      </c>
      <c r="D756">
        <v>362.63470000000001</v>
      </c>
    </row>
    <row r="757" spans="1:4" x14ac:dyDescent="0.35">
      <c r="A757" t="s">
        <v>759</v>
      </c>
      <c r="B757">
        <v>102.4096</v>
      </c>
      <c r="C757">
        <v>457.47</v>
      </c>
      <c r="D757">
        <v>378.75400000000002</v>
      </c>
    </row>
    <row r="758" spans="1:4" x14ac:dyDescent="0.35">
      <c r="A758" t="s">
        <v>760</v>
      </c>
      <c r="B758">
        <v>103.46639999999999</v>
      </c>
      <c r="C758">
        <v>453.93740000000003</v>
      </c>
      <c r="D758">
        <v>391.46260000000001</v>
      </c>
    </row>
    <row r="759" spans="1:4" x14ac:dyDescent="0.35">
      <c r="A759" t="s">
        <v>761</v>
      </c>
      <c r="B759">
        <v>103.89109999999999</v>
      </c>
      <c r="C759">
        <v>459.60509999999999</v>
      </c>
      <c r="D759">
        <v>376.55849999999998</v>
      </c>
    </row>
    <row r="760" spans="1:4" x14ac:dyDescent="0.35">
      <c r="A760" t="s">
        <v>762</v>
      </c>
      <c r="B760">
        <v>102.16370000000001</v>
      </c>
      <c r="C760">
        <v>462.27710000000002</v>
      </c>
      <c r="D760">
        <v>383.86290000000002</v>
      </c>
    </row>
    <row r="761" spans="1:4" x14ac:dyDescent="0.35">
      <c r="A761" t="s">
        <v>763</v>
      </c>
      <c r="B761">
        <v>103.6461</v>
      </c>
      <c r="C761">
        <v>475.3374</v>
      </c>
      <c r="D761">
        <v>399.69569999999999</v>
      </c>
    </row>
    <row r="762" spans="1:4" x14ac:dyDescent="0.35">
      <c r="A762" t="s">
        <v>764</v>
      </c>
      <c r="B762">
        <v>102.50069999999999</v>
      </c>
      <c r="C762">
        <v>473.88290000000001</v>
      </c>
      <c r="D762">
        <v>404.58330000000001</v>
      </c>
    </row>
    <row r="763" spans="1:4" x14ac:dyDescent="0.35">
      <c r="A763" t="s">
        <v>765</v>
      </c>
      <c r="B763">
        <v>102.7923</v>
      </c>
      <c r="C763">
        <v>471.5419</v>
      </c>
      <c r="D763">
        <v>418.27420000000001</v>
      </c>
    </row>
    <row r="764" spans="1:4" x14ac:dyDescent="0.35">
      <c r="A764" t="s">
        <v>766</v>
      </c>
      <c r="B764">
        <v>108.2358</v>
      </c>
      <c r="C764">
        <v>471.54020000000003</v>
      </c>
      <c r="D764">
        <v>444.54669999999999</v>
      </c>
    </row>
    <row r="765" spans="1:4" x14ac:dyDescent="0.35">
      <c r="A765" t="s">
        <v>767</v>
      </c>
      <c r="B765">
        <v>108.0712</v>
      </c>
      <c r="C765">
        <v>469.53559999999999</v>
      </c>
      <c r="D765">
        <v>458.66340000000002</v>
      </c>
    </row>
    <row r="766" spans="1:4" x14ac:dyDescent="0.35">
      <c r="A766" t="s">
        <v>768</v>
      </c>
      <c r="B766">
        <v>110.6283</v>
      </c>
      <c r="C766">
        <v>475.34019999999998</v>
      </c>
      <c r="D766">
        <v>462.36090000000002</v>
      </c>
    </row>
    <row r="767" spans="1:4" x14ac:dyDescent="0.35">
      <c r="A767" t="s">
        <v>769</v>
      </c>
      <c r="B767">
        <v>109.127</v>
      </c>
      <c r="C767">
        <v>464.08769999999998</v>
      </c>
      <c r="D767">
        <v>477.34930000000003</v>
      </c>
    </row>
    <row r="768" spans="1:4" x14ac:dyDescent="0.35">
      <c r="A768" t="s">
        <v>770</v>
      </c>
      <c r="B768">
        <v>109.0943</v>
      </c>
      <c r="C768">
        <v>456.94170000000003</v>
      </c>
      <c r="D768">
        <v>479.69240000000002</v>
      </c>
    </row>
    <row r="769" spans="1:4" x14ac:dyDescent="0.35">
      <c r="A769" t="s">
        <v>771</v>
      </c>
      <c r="B769">
        <v>113.07250000000001</v>
      </c>
      <c r="C769">
        <v>449.81040000000002</v>
      </c>
      <c r="D769">
        <v>480.30059999999997</v>
      </c>
    </row>
    <row r="770" spans="1:4" x14ac:dyDescent="0.35">
      <c r="A770" t="s">
        <v>772</v>
      </c>
      <c r="B770">
        <v>111.7081</v>
      </c>
      <c r="C770">
        <v>456.39940000000001</v>
      </c>
      <c r="D770">
        <v>475.52510000000001</v>
      </c>
    </row>
    <row r="771" spans="1:4" x14ac:dyDescent="0.35">
      <c r="A771" t="s">
        <v>773</v>
      </c>
      <c r="B771">
        <v>115.8781</v>
      </c>
      <c r="C771">
        <v>468.3965</v>
      </c>
      <c r="D771">
        <v>498.63389999999998</v>
      </c>
    </row>
    <row r="772" spans="1:4" x14ac:dyDescent="0.35">
      <c r="A772" t="s">
        <v>774</v>
      </c>
      <c r="B772">
        <v>117.577</v>
      </c>
      <c r="C772">
        <v>467.79759999999999</v>
      </c>
      <c r="D772">
        <v>486.80770000000001</v>
      </c>
    </row>
    <row r="773" spans="1:4" x14ac:dyDescent="0.35">
      <c r="A773" t="s">
        <v>775</v>
      </c>
      <c r="B773">
        <v>116.3083</v>
      </c>
      <c r="C773">
        <v>466.74869999999999</v>
      </c>
      <c r="D773">
        <v>509.9896</v>
      </c>
    </row>
    <row r="774" spans="1:4" x14ac:dyDescent="0.35">
      <c r="A774" t="s">
        <v>776</v>
      </c>
      <c r="B774">
        <v>117.83580000000001</v>
      </c>
      <c r="C774">
        <v>467.37380000000002</v>
      </c>
      <c r="D774">
        <v>517.97979999999995</v>
      </c>
    </row>
    <row r="775" spans="1:4" x14ac:dyDescent="0.35">
      <c r="A775" t="s">
        <v>777</v>
      </c>
      <c r="B775">
        <v>120.19840000000001</v>
      </c>
      <c r="C775">
        <v>475.72739999999999</v>
      </c>
      <c r="D775">
        <v>496.9588</v>
      </c>
    </row>
    <row r="776" spans="1:4" x14ac:dyDescent="0.35">
      <c r="A776" t="s">
        <v>778</v>
      </c>
      <c r="B776">
        <v>121.7512</v>
      </c>
      <c r="C776">
        <v>469.29059999999998</v>
      </c>
      <c r="D776">
        <v>502.74669999999998</v>
      </c>
    </row>
    <row r="777" spans="1:4" x14ac:dyDescent="0.35">
      <c r="A777" t="s">
        <v>779</v>
      </c>
      <c r="B777">
        <v>118.0343</v>
      </c>
      <c r="C777">
        <v>471.10700000000003</v>
      </c>
      <c r="D777">
        <v>472.31009999999998</v>
      </c>
    </row>
    <row r="778" spans="1:4" x14ac:dyDescent="0.35">
      <c r="A778" t="s">
        <v>780</v>
      </c>
      <c r="B778">
        <v>116.3767</v>
      </c>
      <c r="C778">
        <v>478.18639999999999</v>
      </c>
      <c r="D778">
        <v>481.5215</v>
      </c>
    </row>
    <row r="779" spans="1:4" x14ac:dyDescent="0.35">
      <c r="A779" t="s">
        <v>781</v>
      </c>
      <c r="B779">
        <v>115.84829999999999</v>
      </c>
      <c r="C779">
        <v>481.93270000000001</v>
      </c>
      <c r="D779">
        <v>494.75259999999997</v>
      </c>
    </row>
    <row r="780" spans="1:4" x14ac:dyDescent="0.35">
      <c r="A780" t="s">
        <v>782</v>
      </c>
      <c r="B780">
        <v>115.7223</v>
      </c>
      <c r="C780">
        <v>483.44420000000002</v>
      </c>
      <c r="D780">
        <v>486.30560000000003</v>
      </c>
    </row>
    <row r="781" spans="1:4" x14ac:dyDescent="0.35">
      <c r="A781" t="s">
        <v>783</v>
      </c>
      <c r="B781">
        <v>117.2146</v>
      </c>
      <c r="C781">
        <v>490.89929999999998</v>
      </c>
      <c r="D781">
        <v>488.37990000000002</v>
      </c>
    </row>
    <row r="782" spans="1:4" x14ac:dyDescent="0.35">
      <c r="A782" t="s">
        <v>784</v>
      </c>
      <c r="B782">
        <v>117.679</v>
      </c>
      <c r="C782">
        <v>471.52780000000001</v>
      </c>
      <c r="D782">
        <v>518.15189999999996</v>
      </c>
    </row>
    <row r="783" spans="1:4" x14ac:dyDescent="0.35">
      <c r="A783" t="s">
        <v>785</v>
      </c>
      <c r="B783">
        <v>114.6236</v>
      </c>
      <c r="C783">
        <v>476.48379999999997</v>
      </c>
      <c r="D783">
        <v>510.63040000000001</v>
      </c>
    </row>
    <row r="784" spans="1:4" x14ac:dyDescent="0.35">
      <c r="A784" t="s">
        <v>786</v>
      </c>
      <c r="B784">
        <v>115.54470000000001</v>
      </c>
      <c r="C784">
        <v>471.9674</v>
      </c>
      <c r="D784">
        <v>494.93610000000001</v>
      </c>
    </row>
    <row r="785" spans="1:4" x14ac:dyDescent="0.35">
      <c r="A785" t="s">
        <v>787</v>
      </c>
      <c r="B785">
        <v>117.0112</v>
      </c>
      <c r="C785">
        <v>459.31580000000002</v>
      </c>
      <c r="D785">
        <v>517.71690000000001</v>
      </c>
    </row>
    <row r="786" spans="1:4" x14ac:dyDescent="0.35">
      <c r="A786" t="s">
        <v>788</v>
      </c>
      <c r="B786">
        <v>118.3759</v>
      </c>
      <c r="C786">
        <v>462.98450000000003</v>
      </c>
      <c r="D786">
        <v>549.4162</v>
      </c>
    </row>
    <row r="787" spans="1:4" x14ac:dyDescent="0.35">
      <c r="A787" t="s">
        <v>789</v>
      </c>
      <c r="B787">
        <v>121.01090000000001</v>
      </c>
      <c r="C787">
        <v>472.75909999999999</v>
      </c>
      <c r="D787">
        <v>549.77940000000001</v>
      </c>
    </row>
    <row r="788" spans="1:4" x14ac:dyDescent="0.35">
      <c r="A788" t="s">
        <v>790</v>
      </c>
      <c r="B788">
        <v>123.0954</v>
      </c>
      <c r="C788">
        <v>471.92099999999999</v>
      </c>
      <c r="D788">
        <v>567.02930000000003</v>
      </c>
    </row>
    <row r="789" spans="1:4" x14ac:dyDescent="0.35">
      <c r="A789" t="s">
        <v>791</v>
      </c>
      <c r="B789">
        <v>124.2807</v>
      </c>
      <c r="C789">
        <v>478.85239999999999</v>
      </c>
      <c r="D789">
        <v>590.63919999999996</v>
      </c>
    </row>
    <row r="790" spans="1:4" x14ac:dyDescent="0.35">
      <c r="A790" t="s">
        <v>792</v>
      </c>
      <c r="B790">
        <v>124.1561</v>
      </c>
      <c r="C790">
        <v>490.71519999999998</v>
      </c>
      <c r="D790">
        <v>577.94619999999998</v>
      </c>
    </row>
    <row r="791" spans="1:4" x14ac:dyDescent="0.35">
      <c r="A791" t="s">
        <v>793</v>
      </c>
      <c r="B791">
        <v>120.14749999999999</v>
      </c>
      <c r="C791">
        <v>500.63400000000001</v>
      </c>
      <c r="D791">
        <v>569.90610000000004</v>
      </c>
    </row>
    <row r="792" spans="1:4" x14ac:dyDescent="0.35">
      <c r="A792" t="s">
        <v>794</v>
      </c>
      <c r="B792">
        <v>121.2328</v>
      </c>
      <c r="C792">
        <v>513.24950000000001</v>
      </c>
      <c r="D792">
        <v>591.66930000000002</v>
      </c>
    </row>
    <row r="793" spans="1:4" x14ac:dyDescent="0.35">
      <c r="A793" t="s">
        <v>795</v>
      </c>
      <c r="B793">
        <v>121.7861</v>
      </c>
      <c r="C793">
        <v>519.14409999999998</v>
      </c>
      <c r="D793">
        <v>622.68970000000002</v>
      </c>
    </row>
    <row r="794" spans="1:4" x14ac:dyDescent="0.35">
      <c r="A794" t="s">
        <v>796</v>
      </c>
      <c r="B794">
        <v>122.4984</v>
      </c>
      <c r="C794">
        <v>519.88130000000001</v>
      </c>
      <c r="D794">
        <v>633.64239999999995</v>
      </c>
    </row>
    <row r="795" spans="1:4" x14ac:dyDescent="0.35">
      <c r="A795" t="s">
        <v>797</v>
      </c>
      <c r="B795">
        <v>119.45780000000001</v>
      </c>
      <c r="C795">
        <v>507.68369999999999</v>
      </c>
      <c r="D795">
        <v>617.476</v>
      </c>
    </row>
    <row r="796" spans="1:4" x14ac:dyDescent="0.35">
      <c r="A796" t="s">
        <v>798</v>
      </c>
      <c r="B796">
        <v>116.9495</v>
      </c>
      <c r="C796">
        <v>505.9588</v>
      </c>
      <c r="D796">
        <v>655.76469999999995</v>
      </c>
    </row>
    <row r="797" spans="1:4" x14ac:dyDescent="0.35">
      <c r="A797" t="s">
        <v>799</v>
      </c>
      <c r="B797">
        <v>119.4867</v>
      </c>
      <c r="C797">
        <v>499.74299999999999</v>
      </c>
      <c r="D797">
        <v>645.7568</v>
      </c>
    </row>
    <row r="798" spans="1:4" x14ac:dyDescent="0.35">
      <c r="A798" t="s">
        <v>800</v>
      </c>
      <c r="B798">
        <v>119.44</v>
      </c>
      <c r="C798">
        <v>516.43299999999999</v>
      </c>
      <c r="D798">
        <v>639.64850000000001</v>
      </c>
    </row>
    <row r="799" spans="1:4" x14ac:dyDescent="0.35">
      <c r="A799" t="s">
        <v>801</v>
      </c>
      <c r="B799">
        <v>121.1275</v>
      </c>
      <c r="C799">
        <v>515.22040000000004</v>
      </c>
      <c r="D799">
        <v>646.60720000000003</v>
      </c>
    </row>
    <row r="800" spans="1:4" x14ac:dyDescent="0.35">
      <c r="A800" t="s">
        <v>802</v>
      </c>
      <c r="B800">
        <v>121.24460000000001</v>
      </c>
      <c r="C800">
        <v>516.32190000000003</v>
      </c>
      <c r="D800">
        <v>677.84169999999995</v>
      </c>
    </row>
    <row r="801" spans="1:4" x14ac:dyDescent="0.35">
      <c r="A801" t="s">
        <v>803</v>
      </c>
      <c r="B801">
        <v>121.36539999999999</v>
      </c>
      <c r="C801">
        <v>520.76049999999998</v>
      </c>
      <c r="D801">
        <v>695.81449999999995</v>
      </c>
    </row>
    <row r="802" spans="1:4" x14ac:dyDescent="0.35">
      <c r="A802" t="s">
        <v>804</v>
      </c>
      <c r="B802">
        <v>123.71380000000001</v>
      </c>
      <c r="C802">
        <v>521.25099999999998</v>
      </c>
      <c r="D802">
        <v>704.91629999999998</v>
      </c>
    </row>
    <row r="803" spans="1:4" x14ac:dyDescent="0.35">
      <c r="A803" t="s">
        <v>805</v>
      </c>
      <c r="B803">
        <v>122.4926</v>
      </c>
      <c r="C803">
        <v>534.8279</v>
      </c>
      <c r="D803">
        <v>715.17529999999999</v>
      </c>
    </row>
    <row r="804" spans="1:4" x14ac:dyDescent="0.35">
      <c r="A804" t="s">
        <v>806</v>
      </c>
      <c r="B804">
        <v>122.7774</v>
      </c>
      <c r="C804">
        <v>530.00829999999996</v>
      </c>
      <c r="D804">
        <v>716.50350000000003</v>
      </c>
    </row>
    <row r="805" spans="1:4" x14ac:dyDescent="0.35">
      <c r="A805" t="s">
        <v>807</v>
      </c>
      <c r="B805">
        <v>121.6961</v>
      </c>
      <c r="C805">
        <v>531.7106</v>
      </c>
      <c r="D805">
        <v>729.00260000000003</v>
      </c>
    </row>
    <row r="806" spans="1:4" x14ac:dyDescent="0.35">
      <c r="A806" t="s">
        <v>808</v>
      </c>
      <c r="B806">
        <v>120.6914</v>
      </c>
      <c r="C806">
        <v>525.97299999999996</v>
      </c>
      <c r="D806">
        <v>676.09969999999998</v>
      </c>
    </row>
    <row r="807" spans="1:4" x14ac:dyDescent="0.35">
      <c r="A807" t="s">
        <v>809</v>
      </c>
      <c r="B807">
        <v>119.99550000000001</v>
      </c>
      <c r="C807">
        <v>515.80920000000003</v>
      </c>
      <c r="D807">
        <v>670.47889999999995</v>
      </c>
    </row>
    <row r="808" spans="1:4" x14ac:dyDescent="0.35">
      <c r="A808" t="s">
        <v>810</v>
      </c>
      <c r="B808">
        <v>120.578</v>
      </c>
      <c r="C808">
        <v>511.24450000000002</v>
      </c>
      <c r="D808">
        <v>675.72209999999995</v>
      </c>
    </row>
    <row r="809" spans="1:4" x14ac:dyDescent="0.35">
      <c r="A809" t="s">
        <v>811</v>
      </c>
      <c r="B809">
        <v>119.47669999999999</v>
      </c>
      <c r="C809">
        <v>511.10750000000002</v>
      </c>
      <c r="D809">
        <v>653.14649999999995</v>
      </c>
    </row>
    <row r="810" spans="1:4" x14ac:dyDescent="0.35">
      <c r="A810" t="s">
        <v>812</v>
      </c>
      <c r="B810">
        <v>122.56440000000001</v>
      </c>
      <c r="C810">
        <v>507.97280000000001</v>
      </c>
      <c r="D810">
        <v>661.12390000000005</v>
      </c>
    </row>
    <row r="811" spans="1:4" x14ac:dyDescent="0.35">
      <c r="A811" t="s">
        <v>813</v>
      </c>
      <c r="B811">
        <v>120.4391</v>
      </c>
      <c r="C811">
        <v>502.86869999999999</v>
      </c>
      <c r="D811">
        <v>657.44230000000005</v>
      </c>
    </row>
    <row r="812" spans="1:4" x14ac:dyDescent="0.35">
      <c r="A812" t="s">
        <v>814</v>
      </c>
      <c r="B812">
        <v>120.0378</v>
      </c>
      <c r="C812">
        <v>492.51339999999999</v>
      </c>
      <c r="D812">
        <v>693.37530000000004</v>
      </c>
    </row>
    <row r="813" spans="1:4" x14ac:dyDescent="0.35">
      <c r="A813" t="s">
        <v>815</v>
      </c>
      <c r="B813">
        <v>119.03440000000001</v>
      </c>
      <c r="C813">
        <v>492.04129999999998</v>
      </c>
      <c r="D813">
        <v>727.28030000000001</v>
      </c>
    </row>
    <row r="814" spans="1:4" x14ac:dyDescent="0.35">
      <c r="A814" t="s">
        <v>816</v>
      </c>
      <c r="B814">
        <v>122.57850000000001</v>
      </c>
      <c r="C814">
        <v>481.19830000000002</v>
      </c>
      <c r="D814">
        <v>717.58240000000001</v>
      </c>
    </row>
    <row r="815" spans="1:4" x14ac:dyDescent="0.35">
      <c r="A815" t="s">
        <v>817</v>
      </c>
      <c r="B815">
        <v>123.11060000000001</v>
      </c>
      <c r="C815">
        <v>486.85570000000001</v>
      </c>
      <c r="D815">
        <v>714.73559999999998</v>
      </c>
    </row>
    <row r="816" spans="1:4" x14ac:dyDescent="0.35">
      <c r="A816" t="s">
        <v>818</v>
      </c>
      <c r="B816">
        <v>125.72790000000001</v>
      </c>
      <c r="C816">
        <v>487.59820000000002</v>
      </c>
      <c r="D816">
        <v>713.54409999999996</v>
      </c>
    </row>
    <row r="817" spans="1:4" x14ac:dyDescent="0.35">
      <c r="A817" t="s">
        <v>819</v>
      </c>
      <c r="B817">
        <v>122.09610000000001</v>
      </c>
      <c r="C817">
        <v>477.19060000000002</v>
      </c>
      <c r="D817">
        <v>704.32820000000004</v>
      </c>
    </row>
    <row r="818" spans="1:4" x14ac:dyDescent="0.35">
      <c r="A818" t="s">
        <v>820</v>
      </c>
      <c r="B818">
        <v>122.7991</v>
      </c>
      <c r="C818">
        <v>475.11900000000003</v>
      </c>
      <c r="D818">
        <v>708.85090000000002</v>
      </c>
    </row>
    <row r="819" spans="1:4" x14ac:dyDescent="0.35">
      <c r="A819" t="s">
        <v>821</v>
      </c>
      <c r="B819">
        <v>125.0536</v>
      </c>
      <c r="C819">
        <v>469.92380000000003</v>
      </c>
      <c r="D819">
        <v>693.28880000000004</v>
      </c>
    </row>
    <row r="820" spans="1:4" x14ac:dyDescent="0.35">
      <c r="A820" t="s">
        <v>822</v>
      </c>
      <c r="B820">
        <v>125.30970000000001</v>
      </c>
      <c r="C820">
        <v>472.31479999999999</v>
      </c>
      <c r="D820">
        <v>670.53660000000002</v>
      </c>
    </row>
    <row r="821" spans="1:4" x14ac:dyDescent="0.35">
      <c r="A821" t="s">
        <v>823</v>
      </c>
      <c r="B821">
        <v>128.0598</v>
      </c>
      <c r="C821">
        <v>482.0462</v>
      </c>
      <c r="D821">
        <v>683.55669999999998</v>
      </c>
    </row>
    <row r="822" spans="1:4" x14ac:dyDescent="0.35">
      <c r="A822" t="s">
        <v>824</v>
      </c>
      <c r="B822">
        <v>126.7925</v>
      </c>
      <c r="C822">
        <v>468.81110000000001</v>
      </c>
      <c r="D822">
        <v>696.97220000000004</v>
      </c>
    </row>
    <row r="823" spans="1:4" x14ac:dyDescent="0.35">
      <c r="A823" t="s">
        <v>825</v>
      </c>
      <c r="B823">
        <v>130.46940000000001</v>
      </c>
      <c r="C823">
        <v>469.75569999999999</v>
      </c>
      <c r="D823">
        <v>680.73019999999997</v>
      </c>
    </row>
    <row r="824" spans="1:4" x14ac:dyDescent="0.35">
      <c r="A824" t="s">
        <v>826</v>
      </c>
      <c r="B824">
        <v>136.6628</v>
      </c>
      <c r="C824">
        <v>468.76339999999999</v>
      </c>
      <c r="D824">
        <v>699.64750000000004</v>
      </c>
    </row>
    <row r="825" spans="1:4" x14ac:dyDescent="0.35">
      <c r="A825" t="s">
        <v>827</v>
      </c>
      <c r="B825">
        <v>135.72900000000001</v>
      </c>
      <c r="C825">
        <v>473.64389999999997</v>
      </c>
      <c r="D825">
        <v>686.89359999999999</v>
      </c>
    </row>
    <row r="826" spans="1:4" x14ac:dyDescent="0.35">
      <c r="A826" t="s">
        <v>828</v>
      </c>
      <c r="B826">
        <v>134.5788</v>
      </c>
      <c r="C826">
        <v>475.29770000000002</v>
      </c>
      <c r="D826">
        <v>692.51110000000006</v>
      </c>
    </row>
    <row r="827" spans="1:4" x14ac:dyDescent="0.35">
      <c r="A827" t="s">
        <v>829</v>
      </c>
      <c r="B827">
        <v>138.6036</v>
      </c>
      <c r="C827">
        <v>470.10180000000003</v>
      </c>
      <c r="D827">
        <v>710.15599999999995</v>
      </c>
    </row>
    <row r="828" spans="1:4" x14ac:dyDescent="0.35">
      <c r="A828" t="s">
        <v>830</v>
      </c>
      <c r="B828">
        <v>143.10939999999999</v>
      </c>
      <c r="C828">
        <v>467.99189999999999</v>
      </c>
      <c r="D828">
        <v>709.83050000000003</v>
      </c>
    </row>
    <row r="829" spans="1:4" x14ac:dyDescent="0.35">
      <c r="A829" t="s">
        <v>831</v>
      </c>
      <c r="B829">
        <v>141.6773</v>
      </c>
      <c r="C829">
        <v>462.57010000000002</v>
      </c>
      <c r="D829">
        <v>719.97640000000001</v>
      </c>
    </row>
    <row r="830" spans="1:4" x14ac:dyDescent="0.35">
      <c r="A830" t="s">
        <v>832</v>
      </c>
      <c r="B830">
        <v>140.5479</v>
      </c>
      <c r="C830">
        <v>470.23169999999999</v>
      </c>
      <c r="D830">
        <v>709.29790000000003</v>
      </c>
    </row>
    <row r="831" spans="1:4" x14ac:dyDescent="0.35">
      <c r="A831" t="s">
        <v>833</v>
      </c>
      <c r="B831">
        <v>139.81389999999999</v>
      </c>
      <c r="C831">
        <v>470.51729999999998</v>
      </c>
      <c r="D831">
        <v>705.51750000000004</v>
      </c>
    </row>
    <row r="832" spans="1:4" x14ac:dyDescent="0.35">
      <c r="A832" t="s">
        <v>834</v>
      </c>
      <c r="B832">
        <v>136.15899999999999</v>
      </c>
      <c r="C832">
        <v>484.2679</v>
      </c>
      <c r="D832">
        <v>701.55960000000005</v>
      </c>
    </row>
    <row r="833" spans="1:4" x14ac:dyDescent="0.35">
      <c r="A833" t="s">
        <v>835</v>
      </c>
      <c r="B833">
        <v>133.7337</v>
      </c>
      <c r="C833">
        <v>483.9665</v>
      </c>
      <c r="D833">
        <v>686.39859999999999</v>
      </c>
    </row>
    <row r="834" spans="1:4" x14ac:dyDescent="0.35">
      <c r="A834" t="s">
        <v>836</v>
      </c>
      <c r="B834">
        <v>131.12719999999999</v>
      </c>
      <c r="C834">
        <v>478.98880000000003</v>
      </c>
      <c r="D834">
        <v>683.14369999999997</v>
      </c>
    </row>
    <row r="835" spans="1:4" x14ac:dyDescent="0.35">
      <c r="A835" t="s">
        <v>837</v>
      </c>
      <c r="B835">
        <v>129.1806</v>
      </c>
      <c r="C835">
        <v>468.37020000000001</v>
      </c>
      <c r="D835">
        <v>652.49059999999997</v>
      </c>
    </row>
    <row r="836" spans="1:4" x14ac:dyDescent="0.35">
      <c r="A836" t="s">
        <v>838</v>
      </c>
      <c r="B836">
        <v>129.14269999999999</v>
      </c>
      <c r="C836">
        <v>456.00299999999999</v>
      </c>
      <c r="D836">
        <v>643.30060000000003</v>
      </c>
    </row>
    <row r="837" spans="1:4" x14ac:dyDescent="0.35">
      <c r="A837" t="s">
        <v>839</v>
      </c>
      <c r="B837">
        <v>129.80099999999999</v>
      </c>
      <c r="C837">
        <v>445.42320000000001</v>
      </c>
      <c r="D837">
        <v>638.1771</v>
      </c>
    </row>
    <row r="838" spans="1:4" x14ac:dyDescent="0.35">
      <c r="A838" t="s">
        <v>840</v>
      </c>
      <c r="B838">
        <v>133.9427</v>
      </c>
      <c r="C838">
        <v>447.34010000000001</v>
      </c>
      <c r="D838">
        <v>633.63959999999997</v>
      </c>
    </row>
    <row r="839" spans="1:4" x14ac:dyDescent="0.35">
      <c r="A839" t="s">
        <v>841</v>
      </c>
      <c r="B839">
        <v>131.34729999999999</v>
      </c>
      <c r="C839">
        <v>450.89640000000003</v>
      </c>
      <c r="D839">
        <v>629.41160000000002</v>
      </c>
    </row>
    <row r="840" spans="1:4" x14ac:dyDescent="0.35">
      <c r="A840" t="s">
        <v>842</v>
      </c>
      <c r="B840">
        <v>134.01230000000001</v>
      </c>
      <c r="C840">
        <v>440.4545</v>
      </c>
      <c r="D840">
        <v>628.59209999999996</v>
      </c>
    </row>
    <row r="841" spans="1:4" x14ac:dyDescent="0.35">
      <c r="A841" t="s">
        <v>843</v>
      </c>
      <c r="B841">
        <v>133.49340000000001</v>
      </c>
      <c r="C841">
        <v>446.53609999999998</v>
      </c>
      <c r="D841">
        <v>638.04949999999997</v>
      </c>
    </row>
    <row r="842" spans="1:4" x14ac:dyDescent="0.35">
      <c r="A842" t="s">
        <v>844</v>
      </c>
      <c r="B842">
        <v>133.41470000000001</v>
      </c>
      <c r="C842">
        <v>443.43970000000002</v>
      </c>
      <c r="D842">
        <v>655.37090000000001</v>
      </c>
    </row>
    <row r="843" spans="1:4" x14ac:dyDescent="0.35">
      <c r="A843" t="s">
        <v>845</v>
      </c>
      <c r="B843">
        <v>135.2817</v>
      </c>
      <c r="C843">
        <v>444.54500000000002</v>
      </c>
      <c r="D843">
        <v>643.07309999999995</v>
      </c>
    </row>
    <row r="844" spans="1:4" x14ac:dyDescent="0.35">
      <c r="A844" t="s">
        <v>846</v>
      </c>
      <c r="B844">
        <v>132.33080000000001</v>
      </c>
      <c r="C844">
        <v>455.55759999999998</v>
      </c>
      <c r="D844">
        <v>620.61590000000001</v>
      </c>
    </row>
    <row r="845" spans="1:4" x14ac:dyDescent="0.35">
      <c r="A845" t="s">
        <v>847</v>
      </c>
      <c r="B845">
        <v>133.40010000000001</v>
      </c>
      <c r="C845">
        <v>461.86020000000002</v>
      </c>
      <c r="D845">
        <v>601.84559999999999</v>
      </c>
    </row>
    <row r="846" spans="1:4" x14ac:dyDescent="0.35">
      <c r="A846" t="s">
        <v>848</v>
      </c>
      <c r="B846">
        <v>133.89850000000001</v>
      </c>
      <c r="C846">
        <v>460.13580000000002</v>
      </c>
      <c r="D846">
        <v>593.4393</v>
      </c>
    </row>
    <row r="847" spans="1:4" x14ac:dyDescent="0.35">
      <c r="A847" t="s">
        <v>849</v>
      </c>
      <c r="B847">
        <v>135.27789999999999</v>
      </c>
      <c r="C847">
        <v>454.15629999999999</v>
      </c>
      <c r="D847">
        <v>587.53</v>
      </c>
    </row>
    <row r="848" spans="1:4" x14ac:dyDescent="0.35">
      <c r="A848" t="s">
        <v>850</v>
      </c>
      <c r="B848">
        <v>136.11689999999999</v>
      </c>
      <c r="C848">
        <v>439.85789999999997</v>
      </c>
      <c r="D848">
        <v>574.42949999999996</v>
      </c>
    </row>
    <row r="849" spans="1:4" x14ac:dyDescent="0.35">
      <c r="A849" t="s">
        <v>851</v>
      </c>
      <c r="B849">
        <v>143.02510000000001</v>
      </c>
      <c r="C849">
        <v>435.2636</v>
      </c>
      <c r="D849">
        <v>552.82629999999995</v>
      </c>
    </row>
    <row r="850" spans="1:4" x14ac:dyDescent="0.35">
      <c r="A850" t="s">
        <v>852</v>
      </c>
      <c r="B850">
        <v>141.2689</v>
      </c>
      <c r="C850">
        <v>434.01209999999998</v>
      </c>
      <c r="D850">
        <v>545.61320000000001</v>
      </c>
    </row>
    <row r="851" spans="1:4" x14ac:dyDescent="0.35">
      <c r="A851" t="s">
        <v>853</v>
      </c>
      <c r="B851">
        <v>139.83250000000001</v>
      </c>
      <c r="C851">
        <v>427.75569999999999</v>
      </c>
      <c r="D851">
        <v>548.89269999999999</v>
      </c>
    </row>
    <row r="852" spans="1:4" x14ac:dyDescent="0.35">
      <c r="A852" t="s">
        <v>854</v>
      </c>
      <c r="B852">
        <v>138.1559</v>
      </c>
      <c r="C852">
        <v>427.03710000000001</v>
      </c>
      <c r="D852">
        <v>559.08640000000003</v>
      </c>
    </row>
    <row r="853" spans="1:4" x14ac:dyDescent="0.35">
      <c r="A853" t="s">
        <v>855</v>
      </c>
      <c r="B853">
        <v>136.6842</v>
      </c>
      <c r="C853">
        <v>427.65260000000001</v>
      </c>
      <c r="D853">
        <v>550.11720000000003</v>
      </c>
    </row>
    <row r="854" spans="1:4" x14ac:dyDescent="0.35">
      <c r="A854" t="s">
        <v>856</v>
      </c>
      <c r="B854">
        <v>135.0068</v>
      </c>
      <c r="C854">
        <v>426.33510000000001</v>
      </c>
      <c r="D854">
        <v>543.6422</v>
      </c>
    </row>
    <row r="855" spans="1:4" x14ac:dyDescent="0.35">
      <c r="A855" t="s">
        <v>857</v>
      </c>
      <c r="B855">
        <v>138.31110000000001</v>
      </c>
      <c r="C855">
        <v>422.32</v>
      </c>
      <c r="D855">
        <v>529.02750000000003</v>
      </c>
    </row>
    <row r="856" spans="1:4" x14ac:dyDescent="0.35">
      <c r="A856" t="s">
        <v>858</v>
      </c>
      <c r="B856">
        <v>142.35380000000001</v>
      </c>
      <c r="C856">
        <v>423.51139999999998</v>
      </c>
      <c r="D856">
        <v>528.81949999999995</v>
      </c>
    </row>
    <row r="857" spans="1:4" x14ac:dyDescent="0.35">
      <c r="A857" t="s">
        <v>859</v>
      </c>
      <c r="B857">
        <v>140.7944</v>
      </c>
      <c r="C857">
        <v>426.45089999999999</v>
      </c>
      <c r="D857">
        <v>515.81299999999999</v>
      </c>
    </row>
    <row r="858" spans="1:4" x14ac:dyDescent="0.35">
      <c r="A858" t="s">
        <v>860</v>
      </c>
      <c r="B858">
        <v>138.52539999999999</v>
      </c>
      <c r="C858">
        <v>419.65320000000003</v>
      </c>
      <c r="D858">
        <v>525.04719999999998</v>
      </c>
    </row>
    <row r="859" spans="1:4" x14ac:dyDescent="0.35">
      <c r="A859" t="s">
        <v>861</v>
      </c>
      <c r="B859">
        <v>139.89359999999999</v>
      </c>
      <c r="C859">
        <v>428.75259999999997</v>
      </c>
      <c r="D859">
        <v>497.93130000000002</v>
      </c>
    </row>
    <row r="860" spans="1:4" x14ac:dyDescent="0.35">
      <c r="A860" t="s">
        <v>862</v>
      </c>
      <c r="B860">
        <v>138.41239999999999</v>
      </c>
      <c r="C860">
        <v>428.24220000000003</v>
      </c>
      <c r="D860">
        <v>492.85910000000001</v>
      </c>
    </row>
    <row r="861" spans="1:4" x14ac:dyDescent="0.35">
      <c r="A861" t="s">
        <v>863</v>
      </c>
      <c r="B861">
        <v>140.23169999999999</v>
      </c>
      <c r="C861">
        <v>428.4864</v>
      </c>
      <c r="D861">
        <v>497.60500000000002</v>
      </c>
    </row>
    <row r="862" spans="1:4" x14ac:dyDescent="0.35">
      <c r="A862" t="s">
        <v>864</v>
      </c>
      <c r="B862">
        <v>140.85830000000001</v>
      </c>
      <c r="C862">
        <v>433.18709999999999</v>
      </c>
      <c r="D862">
        <v>500.63209999999998</v>
      </c>
    </row>
    <row r="863" spans="1:4" x14ac:dyDescent="0.35">
      <c r="A863" t="s">
        <v>865</v>
      </c>
      <c r="B863">
        <v>136.70699999999999</v>
      </c>
      <c r="C863">
        <v>434.83019999999999</v>
      </c>
      <c r="D863">
        <v>543.05610000000001</v>
      </c>
    </row>
    <row r="864" spans="1:4" x14ac:dyDescent="0.35">
      <c r="A864" t="s">
        <v>866</v>
      </c>
      <c r="B864">
        <v>141.0607</v>
      </c>
      <c r="C864">
        <v>441.21839999999997</v>
      </c>
      <c r="D864">
        <v>549.08680000000004</v>
      </c>
    </row>
    <row r="865" spans="1:4" x14ac:dyDescent="0.35">
      <c r="A865" t="s">
        <v>867</v>
      </c>
      <c r="B865">
        <v>146.27780000000001</v>
      </c>
      <c r="C865">
        <v>443.25020000000001</v>
      </c>
      <c r="D865">
        <v>533.08709999999996</v>
      </c>
    </row>
    <row r="866" spans="1:4" x14ac:dyDescent="0.35">
      <c r="A866" t="s">
        <v>868</v>
      </c>
      <c r="B866">
        <v>144.5538</v>
      </c>
      <c r="C866">
        <v>439.32319999999999</v>
      </c>
      <c r="D866">
        <v>531.85500000000002</v>
      </c>
    </row>
    <row r="867" spans="1:4" x14ac:dyDescent="0.35">
      <c r="A867" t="s">
        <v>869</v>
      </c>
      <c r="B867">
        <v>143.49459999999999</v>
      </c>
      <c r="C867">
        <v>441.83890000000002</v>
      </c>
      <c r="D867">
        <v>504.53320000000002</v>
      </c>
    </row>
    <row r="868" spans="1:4" x14ac:dyDescent="0.35">
      <c r="A868" t="s">
        <v>870</v>
      </c>
      <c r="B868">
        <v>144.3751</v>
      </c>
      <c r="C868">
        <v>434.44830000000002</v>
      </c>
      <c r="D868">
        <v>503.59160000000003</v>
      </c>
    </row>
    <row r="869" spans="1:4" x14ac:dyDescent="0.35">
      <c r="A869" t="s">
        <v>871</v>
      </c>
      <c r="B869">
        <v>145.4023</v>
      </c>
      <c r="C869">
        <v>435.28149999999999</v>
      </c>
      <c r="D869">
        <v>491.43220000000002</v>
      </c>
    </row>
    <row r="870" spans="1:4" x14ac:dyDescent="0.35">
      <c r="A870" t="s">
        <v>872</v>
      </c>
      <c r="B870">
        <v>147.38900000000001</v>
      </c>
      <c r="C870">
        <v>435.18970000000002</v>
      </c>
      <c r="D870">
        <v>505.39260000000002</v>
      </c>
    </row>
    <row r="871" spans="1:4" x14ac:dyDescent="0.35">
      <c r="A871" t="s">
        <v>873</v>
      </c>
      <c r="B871">
        <v>153.4967</v>
      </c>
      <c r="C871">
        <v>433.95800000000003</v>
      </c>
      <c r="D871">
        <v>497.4024</v>
      </c>
    </row>
    <row r="872" spans="1:4" x14ac:dyDescent="0.35">
      <c r="A872" t="s">
        <v>874</v>
      </c>
      <c r="B872">
        <v>153.01560000000001</v>
      </c>
      <c r="C872">
        <v>433.2466</v>
      </c>
      <c r="D872">
        <v>495.93579999999997</v>
      </c>
    </row>
    <row r="873" spans="1:4" x14ac:dyDescent="0.35">
      <c r="A873" t="s">
        <v>875</v>
      </c>
      <c r="B873">
        <v>150.6523</v>
      </c>
      <c r="C873">
        <v>421.30919999999998</v>
      </c>
      <c r="D873">
        <v>486.8372</v>
      </c>
    </row>
    <row r="874" spans="1:4" x14ac:dyDescent="0.35">
      <c r="A874" t="s">
        <v>876</v>
      </c>
      <c r="B874">
        <v>146.61170000000001</v>
      </c>
      <c r="C874">
        <v>417.97579999999999</v>
      </c>
      <c r="D874">
        <v>513.18949999999995</v>
      </c>
    </row>
    <row r="875" spans="1:4" x14ac:dyDescent="0.35">
      <c r="A875" t="s">
        <v>877</v>
      </c>
      <c r="B875">
        <v>144.5419</v>
      </c>
      <c r="C875">
        <v>418.67869999999999</v>
      </c>
      <c r="D875">
        <v>508.54719999999998</v>
      </c>
    </row>
    <row r="876" spans="1:4" x14ac:dyDescent="0.35">
      <c r="A876" t="s">
        <v>878</v>
      </c>
      <c r="B876">
        <v>144.50389999999999</v>
      </c>
      <c r="C876">
        <v>419.80450000000002</v>
      </c>
      <c r="D876">
        <v>537.5838</v>
      </c>
    </row>
    <row r="877" spans="1:4" x14ac:dyDescent="0.35">
      <c r="A877" t="s">
        <v>879</v>
      </c>
      <c r="B877">
        <v>149.84450000000001</v>
      </c>
      <c r="C877">
        <v>413.5016</v>
      </c>
      <c r="D877">
        <v>551.17880000000002</v>
      </c>
    </row>
    <row r="878" spans="1:4" x14ac:dyDescent="0.35">
      <c r="A878" t="s">
        <v>880</v>
      </c>
      <c r="B878">
        <v>148.36060000000001</v>
      </c>
      <c r="C878">
        <v>421.54840000000002</v>
      </c>
      <c r="D878">
        <v>559.51549999999997</v>
      </c>
    </row>
    <row r="879" spans="1:4" x14ac:dyDescent="0.35">
      <c r="A879" t="s">
        <v>881</v>
      </c>
      <c r="B879">
        <v>149.0857</v>
      </c>
      <c r="C879">
        <v>416.22640000000001</v>
      </c>
      <c r="D879">
        <v>566.05050000000006</v>
      </c>
    </row>
    <row r="880" spans="1:4" x14ac:dyDescent="0.35">
      <c r="A880" t="s">
        <v>882</v>
      </c>
      <c r="B880">
        <v>149.09639999999999</v>
      </c>
      <c r="C880">
        <v>422.44479999999999</v>
      </c>
      <c r="D880">
        <v>573.09249999999997</v>
      </c>
    </row>
    <row r="881" spans="1:4" x14ac:dyDescent="0.35">
      <c r="A881" t="s">
        <v>883</v>
      </c>
      <c r="B881">
        <v>152.74359999999999</v>
      </c>
      <c r="C881">
        <v>425.28269999999998</v>
      </c>
      <c r="D881">
        <v>541.18809999999996</v>
      </c>
    </row>
    <row r="882" spans="1:4" x14ac:dyDescent="0.35">
      <c r="A882" t="s">
        <v>884</v>
      </c>
      <c r="B882">
        <v>160.72569999999999</v>
      </c>
      <c r="C882">
        <v>421.30130000000003</v>
      </c>
      <c r="D882">
        <v>536.97439999999995</v>
      </c>
    </row>
    <row r="883" spans="1:4" x14ac:dyDescent="0.35">
      <c r="A883" t="s">
        <v>885</v>
      </c>
      <c r="B883">
        <v>159.09190000000001</v>
      </c>
      <c r="C883">
        <v>432.79559999999998</v>
      </c>
      <c r="D883">
        <v>551.06629999999996</v>
      </c>
    </row>
    <row r="884" spans="1:4" x14ac:dyDescent="0.35">
      <c r="A884" t="s">
        <v>886</v>
      </c>
      <c r="B884">
        <v>157.6052</v>
      </c>
      <c r="C884">
        <v>425.23770000000002</v>
      </c>
      <c r="D884">
        <v>550.56129999999996</v>
      </c>
    </row>
    <row r="885" spans="1:4" x14ac:dyDescent="0.35">
      <c r="A885" t="s">
        <v>887</v>
      </c>
      <c r="B885">
        <v>160.99549999999999</v>
      </c>
      <c r="C885">
        <v>431.26519999999999</v>
      </c>
      <c r="D885">
        <v>528.12480000000005</v>
      </c>
    </row>
    <row r="886" spans="1:4" x14ac:dyDescent="0.35">
      <c r="A886" t="s">
        <v>888</v>
      </c>
      <c r="B886">
        <v>163.2715</v>
      </c>
      <c r="C886">
        <v>437.91269999999997</v>
      </c>
      <c r="D886">
        <v>527.58519999999999</v>
      </c>
    </row>
    <row r="887" spans="1:4" x14ac:dyDescent="0.35">
      <c r="A887" t="s">
        <v>889</v>
      </c>
      <c r="B887">
        <v>169.48230000000001</v>
      </c>
      <c r="C887">
        <v>433.65429999999998</v>
      </c>
      <c r="D887">
        <v>555.56389999999999</v>
      </c>
    </row>
    <row r="888" spans="1:4" x14ac:dyDescent="0.35">
      <c r="A888" t="s">
        <v>890</v>
      </c>
      <c r="B888">
        <v>171.54179999999999</v>
      </c>
      <c r="C888">
        <v>442.93459999999999</v>
      </c>
      <c r="D888">
        <v>577.0566</v>
      </c>
    </row>
    <row r="889" spans="1:4" x14ac:dyDescent="0.35">
      <c r="A889" t="s">
        <v>891</v>
      </c>
      <c r="B889">
        <v>170.3817</v>
      </c>
      <c r="C889">
        <v>441.4033</v>
      </c>
      <c r="D889">
        <v>576.30110000000002</v>
      </c>
    </row>
    <row r="890" spans="1:4" x14ac:dyDescent="0.35">
      <c r="A890" t="s">
        <v>892</v>
      </c>
      <c r="B890">
        <v>172.4753</v>
      </c>
      <c r="C890">
        <v>443.44639999999998</v>
      </c>
      <c r="D890">
        <v>593.31399999999996</v>
      </c>
    </row>
    <row r="891" spans="1:4" x14ac:dyDescent="0.35">
      <c r="A891" t="s">
        <v>893</v>
      </c>
      <c r="B891">
        <v>176.41309999999999</v>
      </c>
      <c r="C891">
        <v>445.30930000000001</v>
      </c>
      <c r="D891">
        <v>587.14890000000003</v>
      </c>
    </row>
    <row r="892" spans="1:4" x14ac:dyDescent="0.35">
      <c r="A892" t="s">
        <v>894</v>
      </c>
      <c r="B892">
        <v>179.40360000000001</v>
      </c>
      <c r="C892">
        <v>444.54090000000002</v>
      </c>
      <c r="D892">
        <v>558.19719999999995</v>
      </c>
    </row>
    <row r="893" spans="1:4" x14ac:dyDescent="0.35">
      <c r="A893" t="s">
        <v>895</v>
      </c>
      <c r="B893">
        <v>181.30549999999999</v>
      </c>
      <c r="C893">
        <v>450.10989999999998</v>
      </c>
      <c r="D893">
        <v>543.22760000000005</v>
      </c>
    </row>
    <row r="894" spans="1:4" x14ac:dyDescent="0.35">
      <c r="A894" t="s">
        <v>896</v>
      </c>
      <c r="B894">
        <v>185.28899999999999</v>
      </c>
      <c r="C894">
        <v>455.6302</v>
      </c>
      <c r="D894">
        <v>569.61749999999995</v>
      </c>
    </row>
    <row r="895" spans="1:4" x14ac:dyDescent="0.35">
      <c r="A895" t="s">
        <v>897</v>
      </c>
      <c r="B895">
        <v>189.7491</v>
      </c>
      <c r="C895">
        <v>443.96289999999999</v>
      </c>
      <c r="D895">
        <v>565.2654</v>
      </c>
    </row>
    <row r="896" spans="1:4" x14ac:dyDescent="0.35">
      <c r="A896" t="s">
        <v>898</v>
      </c>
      <c r="B896">
        <v>195.1456</v>
      </c>
      <c r="C896">
        <v>452.8648</v>
      </c>
      <c r="D896">
        <v>561.46180000000004</v>
      </c>
    </row>
    <row r="897" spans="1:4" x14ac:dyDescent="0.35">
      <c r="A897" t="s">
        <v>899</v>
      </c>
      <c r="B897">
        <v>197.7731</v>
      </c>
      <c r="C897">
        <v>441.83819999999997</v>
      </c>
      <c r="D897">
        <v>556.74009999999998</v>
      </c>
    </row>
    <row r="898" spans="1:4" x14ac:dyDescent="0.35">
      <c r="A898" t="s">
        <v>900</v>
      </c>
      <c r="B898">
        <v>197.19200000000001</v>
      </c>
      <c r="C898">
        <v>448.86380000000003</v>
      </c>
      <c r="D898">
        <v>589.79359999999997</v>
      </c>
    </row>
    <row r="899" spans="1:4" x14ac:dyDescent="0.35">
      <c r="A899" t="s">
        <v>901</v>
      </c>
      <c r="B899">
        <v>197.85059999999999</v>
      </c>
      <c r="C899">
        <v>456.6456</v>
      </c>
      <c r="D899">
        <v>619.61699999999996</v>
      </c>
    </row>
    <row r="900" spans="1:4" x14ac:dyDescent="0.35">
      <c r="A900" t="s">
        <v>902</v>
      </c>
      <c r="B900">
        <v>202.76390000000001</v>
      </c>
      <c r="C900">
        <v>449.36279999999999</v>
      </c>
      <c r="D900">
        <v>662.62869999999998</v>
      </c>
    </row>
    <row r="901" spans="1:4" x14ac:dyDescent="0.35">
      <c r="A901" t="s">
        <v>903</v>
      </c>
      <c r="B901">
        <v>199.55770000000001</v>
      </c>
      <c r="C901">
        <v>446.73059999999998</v>
      </c>
      <c r="D901">
        <v>659.83749999999998</v>
      </c>
    </row>
    <row r="902" spans="1:4" x14ac:dyDescent="0.35">
      <c r="A902" t="s">
        <v>904</v>
      </c>
      <c r="B902">
        <v>201.11500000000001</v>
      </c>
      <c r="C902">
        <v>439.50880000000001</v>
      </c>
      <c r="D902">
        <v>666.08159999999998</v>
      </c>
    </row>
    <row r="903" spans="1:4" x14ac:dyDescent="0.35">
      <c r="A903" t="s">
        <v>905</v>
      </c>
      <c r="B903">
        <v>199.619</v>
      </c>
      <c r="C903">
        <v>438.22019999999998</v>
      </c>
      <c r="D903">
        <v>636.80470000000003</v>
      </c>
    </row>
    <row r="904" spans="1:4" x14ac:dyDescent="0.35">
      <c r="A904" t="s">
        <v>906</v>
      </c>
      <c r="B904">
        <v>199.81370000000001</v>
      </c>
      <c r="C904">
        <v>436.3254</v>
      </c>
      <c r="D904">
        <v>666.02089999999998</v>
      </c>
    </row>
    <row r="905" spans="1:4" x14ac:dyDescent="0.35">
      <c r="A905" t="s">
        <v>907</v>
      </c>
      <c r="B905">
        <v>205.07060000000001</v>
      </c>
      <c r="C905">
        <v>441.58510000000001</v>
      </c>
      <c r="D905">
        <v>643.44569999999999</v>
      </c>
    </row>
    <row r="906" spans="1:4" x14ac:dyDescent="0.35">
      <c r="A906" t="s">
        <v>908</v>
      </c>
      <c r="B906">
        <v>205.93819999999999</v>
      </c>
      <c r="C906">
        <v>450.47969999999998</v>
      </c>
      <c r="D906">
        <v>648.00009999999997</v>
      </c>
    </row>
    <row r="907" spans="1:4" x14ac:dyDescent="0.35">
      <c r="A907" t="s">
        <v>909</v>
      </c>
      <c r="B907">
        <v>206.21199999999999</v>
      </c>
      <c r="C907">
        <v>460.14229999999998</v>
      </c>
      <c r="D907">
        <v>627.36080000000004</v>
      </c>
    </row>
    <row r="908" spans="1:4" x14ac:dyDescent="0.35">
      <c r="A908" t="s">
        <v>910</v>
      </c>
      <c r="B908">
        <v>200.7595</v>
      </c>
      <c r="C908">
        <v>456.40960000000001</v>
      </c>
      <c r="D908">
        <v>616.71429999999998</v>
      </c>
    </row>
    <row r="909" spans="1:4" x14ac:dyDescent="0.35">
      <c r="A909" t="s">
        <v>911</v>
      </c>
      <c r="B909">
        <v>203.85990000000001</v>
      </c>
      <c r="C909">
        <v>455.1103</v>
      </c>
      <c r="D909">
        <v>601.74749999999995</v>
      </c>
    </row>
    <row r="910" spans="1:4" x14ac:dyDescent="0.35">
      <c r="A910" t="s">
        <v>912</v>
      </c>
      <c r="B910">
        <v>206.59129999999999</v>
      </c>
      <c r="C910">
        <v>443.88959999999997</v>
      </c>
      <c r="D910">
        <v>591.19839999999999</v>
      </c>
    </row>
    <row r="911" spans="1:4" x14ac:dyDescent="0.35">
      <c r="A911" t="s">
        <v>913</v>
      </c>
      <c r="B911">
        <v>215.81200000000001</v>
      </c>
      <c r="C911">
        <v>438.68220000000002</v>
      </c>
      <c r="D911">
        <v>582.0335</v>
      </c>
    </row>
    <row r="912" spans="1:4" x14ac:dyDescent="0.35">
      <c r="A912" t="s">
        <v>914</v>
      </c>
      <c r="B912">
        <v>214.5735</v>
      </c>
      <c r="C912">
        <v>445.20530000000002</v>
      </c>
      <c r="D912">
        <v>572.85350000000005</v>
      </c>
    </row>
    <row r="913" spans="1:4" x14ac:dyDescent="0.35">
      <c r="A913" t="s">
        <v>915</v>
      </c>
      <c r="B913">
        <v>215.60220000000001</v>
      </c>
      <c r="C913">
        <v>456.25720000000001</v>
      </c>
      <c r="D913">
        <v>587.67849999999999</v>
      </c>
    </row>
    <row r="914" spans="1:4" x14ac:dyDescent="0.35">
      <c r="A914" t="s">
        <v>916</v>
      </c>
      <c r="B914">
        <v>216.767</v>
      </c>
      <c r="C914">
        <v>448.01600000000002</v>
      </c>
      <c r="D914">
        <v>568.83140000000003</v>
      </c>
    </row>
    <row r="915" spans="1:4" x14ac:dyDescent="0.35">
      <c r="A915" t="s">
        <v>917</v>
      </c>
      <c r="B915">
        <v>223.80430000000001</v>
      </c>
      <c r="C915">
        <v>444.17989999999998</v>
      </c>
      <c r="D915">
        <v>572.92240000000004</v>
      </c>
    </row>
    <row r="916" spans="1:4" x14ac:dyDescent="0.35">
      <c r="A916" t="s">
        <v>918</v>
      </c>
      <c r="B916">
        <v>223.4675</v>
      </c>
      <c r="C916">
        <v>444.13159999999999</v>
      </c>
      <c r="D916">
        <v>594.57039999999995</v>
      </c>
    </row>
    <row r="917" spans="1:4" x14ac:dyDescent="0.35">
      <c r="A917" t="s">
        <v>919</v>
      </c>
      <c r="B917">
        <v>224.80789999999999</v>
      </c>
      <c r="C917">
        <v>446.1302</v>
      </c>
      <c r="D917">
        <v>585.80859999999996</v>
      </c>
    </row>
    <row r="918" spans="1:4" x14ac:dyDescent="0.35">
      <c r="A918" t="s">
        <v>920</v>
      </c>
      <c r="B918">
        <v>227.6489</v>
      </c>
      <c r="C918">
        <v>440.87189999999998</v>
      </c>
      <c r="D918">
        <v>573.64210000000003</v>
      </c>
    </row>
    <row r="919" spans="1:4" x14ac:dyDescent="0.35">
      <c r="A919" t="s">
        <v>921</v>
      </c>
      <c r="B919">
        <v>228.5915</v>
      </c>
      <c r="C919">
        <v>443.81279999999998</v>
      </c>
      <c r="D919">
        <v>570.00199999999995</v>
      </c>
    </row>
    <row r="920" spans="1:4" x14ac:dyDescent="0.35">
      <c r="A920" t="s">
        <v>922</v>
      </c>
      <c r="B920">
        <v>226.65020000000001</v>
      </c>
      <c r="C920">
        <v>440.7962</v>
      </c>
      <c r="D920">
        <v>590.86149999999998</v>
      </c>
    </row>
    <row r="921" spans="1:4" x14ac:dyDescent="0.35">
      <c r="A921" t="s">
        <v>923</v>
      </c>
      <c r="B921">
        <v>227.62280000000001</v>
      </c>
      <c r="C921">
        <v>440.82740000000001</v>
      </c>
      <c r="D921">
        <v>594.63919999999996</v>
      </c>
    </row>
    <row r="922" spans="1:4" x14ac:dyDescent="0.35">
      <c r="A922" t="s">
        <v>924</v>
      </c>
      <c r="B922">
        <v>232.65629999999999</v>
      </c>
      <c r="C922">
        <v>444.58229999999998</v>
      </c>
      <c r="D922">
        <v>585.55989999999997</v>
      </c>
    </row>
    <row r="923" spans="1:4" x14ac:dyDescent="0.35">
      <c r="A923" t="s">
        <v>925</v>
      </c>
      <c r="B923">
        <v>228.0197</v>
      </c>
      <c r="C923">
        <v>444.75299999999999</v>
      </c>
      <c r="D923">
        <v>594.44889999999998</v>
      </c>
    </row>
    <row r="924" spans="1:4" x14ac:dyDescent="0.35">
      <c r="A924" t="s">
        <v>926</v>
      </c>
      <c r="B924">
        <v>228.7184</v>
      </c>
      <c r="C924">
        <v>441.97829999999999</v>
      </c>
      <c r="D924">
        <v>575.42909999999995</v>
      </c>
    </row>
    <row r="925" spans="1:4" x14ac:dyDescent="0.35">
      <c r="A925" t="s">
        <v>927</v>
      </c>
      <c r="B925">
        <v>225.6283</v>
      </c>
      <c r="C925">
        <v>441.37909999999999</v>
      </c>
      <c r="D925">
        <v>587.6354</v>
      </c>
    </row>
    <row r="926" spans="1:4" x14ac:dyDescent="0.35">
      <c r="A926" t="s">
        <v>928</v>
      </c>
      <c r="B926">
        <v>231.17840000000001</v>
      </c>
      <c r="C926">
        <v>440.9212</v>
      </c>
      <c r="D926">
        <v>595.21040000000005</v>
      </c>
    </row>
    <row r="927" spans="1:4" x14ac:dyDescent="0.35">
      <c r="A927" t="s">
        <v>929</v>
      </c>
      <c r="B927">
        <v>224.33179999999999</v>
      </c>
      <c r="C927">
        <v>438.60680000000002</v>
      </c>
      <c r="D927">
        <v>590.06380000000001</v>
      </c>
    </row>
    <row r="928" spans="1:4" x14ac:dyDescent="0.35">
      <c r="A928" t="s">
        <v>930</v>
      </c>
      <c r="B928">
        <v>221.92679999999999</v>
      </c>
      <c r="C928">
        <v>437.03309999999999</v>
      </c>
      <c r="D928">
        <v>575.721</v>
      </c>
    </row>
    <row r="929" spans="1:4" x14ac:dyDescent="0.35">
      <c r="A929" t="s">
        <v>931</v>
      </c>
      <c r="B929">
        <v>223.6969</v>
      </c>
      <c r="C929">
        <v>447.76839999999999</v>
      </c>
      <c r="D929">
        <v>560.91690000000006</v>
      </c>
    </row>
    <row r="930" spans="1:4" x14ac:dyDescent="0.35">
      <c r="A930" t="s">
        <v>932</v>
      </c>
      <c r="B930">
        <v>230.9041</v>
      </c>
      <c r="C930">
        <v>451.6816</v>
      </c>
      <c r="D930">
        <v>570.30269999999996</v>
      </c>
    </row>
    <row r="931" spans="1:4" x14ac:dyDescent="0.35">
      <c r="A931" t="s">
        <v>933</v>
      </c>
      <c r="B931">
        <v>230.69290000000001</v>
      </c>
      <c r="C931">
        <v>449.8134</v>
      </c>
      <c r="D931">
        <v>592.04740000000004</v>
      </c>
    </row>
    <row r="932" spans="1:4" x14ac:dyDescent="0.35">
      <c r="A932" t="s">
        <v>934</v>
      </c>
      <c r="B932">
        <v>228.23670000000001</v>
      </c>
      <c r="C932">
        <v>454.6712</v>
      </c>
      <c r="D932">
        <v>581.15499999999997</v>
      </c>
    </row>
    <row r="933" spans="1:4" x14ac:dyDescent="0.35">
      <c r="A933" t="s">
        <v>935</v>
      </c>
      <c r="B933">
        <v>237.0821</v>
      </c>
      <c r="C933">
        <v>452.53030000000001</v>
      </c>
      <c r="D933">
        <v>589.52610000000004</v>
      </c>
    </row>
    <row r="934" spans="1:4" x14ac:dyDescent="0.35">
      <c r="A934" t="s">
        <v>936</v>
      </c>
      <c r="B934">
        <v>230.4068</v>
      </c>
      <c r="C934">
        <v>460.69639999999998</v>
      </c>
      <c r="D934">
        <v>554.05179999999996</v>
      </c>
    </row>
    <row r="935" spans="1:4" x14ac:dyDescent="0.35">
      <c r="A935" t="s">
        <v>937</v>
      </c>
      <c r="B935">
        <v>220.5821</v>
      </c>
      <c r="C935">
        <v>463.39109999999999</v>
      </c>
      <c r="D935">
        <v>544.71879999999999</v>
      </c>
    </row>
    <row r="936" spans="1:4" x14ac:dyDescent="0.35">
      <c r="A936" t="s">
        <v>938</v>
      </c>
      <c r="B936">
        <v>222.62090000000001</v>
      </c>
      <c r="C936">
        <v>462.77879999999999</v>
      </c>
      <c r="D936">
        <v>544.51089999999999</v>
      </c>
    </row>
    <row r="937" spans="1:4" x14ac:dyDescent="0.35">
      <c r="A937" t="s">
        <v>939</v>
      </c>
      <c r="B937">
        <v>220.48490000000001</v>
      </c>
      <c r="C937">
        <v>466.03120000000001</v>
      </c>
      <c r="D937">
        <v>530.14329999999995</v>
      </c>
    </row>
    <row r="938" spans="1:4" x14ac:dyDescent="0.35">
      <c r="A938" t="s">
        <v>940</v>
      </c>
      <c r="B938">
        <v>216.11369999999999</v>
      </c>
      <c r="C938">
        <v>455.30930000000001</v>
      </c>
      <c r="D938">
        <v>515.73969999999997</v>
      </c>
    </row>
    <row r="939" spans="1:4" x14ac:dyDescent="0.35">
      <c r="A939" t="s">
        <v>941</v>
      </c>
      <c r="B939">
        <v>219.28489999999999</v>
      </c>
      <c r="C939">
        <v>447.80720000000002</v>
      </c>
      <c r="D939">
        <v>505.78859999999997</v>
      </c>
    </row>
    <row r="940" spans="1:4" x14ac:dyDescent="0.35">
      <c r="A940" t="s">
        <v>942</v>
      </c>
      <c r="B940">
        <v>220.44489999999999</v>
      </c>
      <c r="C940">
        <v>439.98540000000003</v>
      </c>
      <c r="D940">
        <v>510.52249999999998</v>
      </c>
    </row>
    <row r="941" spans="1:4" x14ac:dyDescent="0.35">
      <c r="A941" t="s">
        <v>943</v>
      </c>
      <c r="B941">
        <v>218.0591</v>
      </c>
      <c r="C941">
        <v>441.0566</v>
      </c>
      <c r="D941">
        <v>507.94069999999999</v>
      </c>
    </row>
    <row r="942" spans="1:4" x14ac:dyDescent="0.35">
      <c r="A942" t="s">
        <v>944</v>
      </c>
      <c r="B942">
        <v>212.63140000000001</v>
      </c>
      <c r="C942">
        <v>452.79899999999998</v>
      </c>
      <c r="D942">
        <v>475.21519999999998</v>
      </c>
    </row>
    <row r="943" spans="1:4" x14ac:dyDescent="0.35">
      <c r="A943" t="s">
        <v>945</v>
      </c>
      <c r="B943">
        <v>216.46080000000001</v>
      </c>
      <c r="C943">
        <v>468.3451</v>
      </c>
      <c r="D943">
        <v>446.16860000000003</v>
      </c>
    </row>
    <row r="944" spans="1:4" x14ac:dyDescent="0.35">
      <c r="A944" t="s">
        <v>946</v>
      </c>
      <c r="B944">
        <v>219.3818</v>
      </c>
      <c r="C944">
        <v>472.98500000000001</v>
      </c>
      <c r="D944">
        <v>438.36020000000002</v>
      </c>
    </row>
    <row r="945" spans="1:4" x14ac:dyDescent="0.35">
      <c r="A945" t="s">
        <v>947</v>
      </c>
      <c r="B945">
        <v>219.03460000000001</v>
      </c>
      <c r="C945">
        <v>476.68880000000001</v>
      </c>
      <c r="D945">
        <v>444.6651</v>
      </c>
    </row>
    <row r="946" spans="1:4" x14ac:dyDescent="0.35">
      <c r="A946" t="s">
        <v>948</v>
      </c>
      <c r="B946">
        <v>227.3664</v>
      </c>
      <c r="C946">
        <v>464.1164</v>
      </c>
      <c r="D946">
        <v>409.70870000000002</v>
      </c>
    </row>
    <row r="947" spans="1:4" x14ac:dyDescent="0.35">
      <c r="A947" t="s">
        <v>949</v>
      </c>
      <c r="B947">
        <v>222.64109999999999</v>
      </c>
      <c r="C947">
        <v>460.4862</v>
      </c>
      <c r="D947">
        <v>403.83420000000001</v>
      </c>
    </row>
    <row r="948" spans="1:4" x14ac:dyDescent="0.35">
      <c r="A948" t="s">
        <v>950</v>
      </c>
      <c r="B948">
        <v>216.03720000000001</v>
      </c>
      <c r="C948">
        <v>455.20760000000001</v>
      </c>
      <c r="D948">
        <v>397.72739999999999</v>
      </c>
    </row>
    <row r="949" spans="1:4" x14ac:dyDescent="0.35">
      <c r="A949" t="s">
        <v>951</v>
      </c>
      <c r="B949">
        <v>213.1534</v>
      </c>
      <c r="C949">
        <v>451.11770000000001</v>
      </c>
      <c r="D949">
        <v>414.87079999999997</v>
      </c>
    </row>
    <row r="950" spans="1:4" x14ac:dyDescent="0.35">
      <c r="A950" t="s">
        <v>952</v>
      </c>
      <c r="B950">
        <v>213.0444</v>
      </c>
      <c r="C950">
        <v>450.11079999999998</v>
      </c>
      <c r="D950">
        <v>410.33190000000002</v>
      </c>
    </row>
    <row r="951" spans="1:4" x14ac:dyDescent="0.35">
      <c r="A951" t="s">
        <v>953</v>
      </c>
      <c r="B951">
        <v>214.1694</v>
      </c>
      <c r="C951">
        <v>447.06310000000002</v>
      </c>
      <c r="D951">
        <v>415.3021</v>
      </c>
    </row>
    <row r="952" spans="1:4" x14ac:dyDescent="0.35">
      <c r="A952" t="s">
        <v>954</v>
      </c>
      <c r="B952">
        <v>213.22389999999999</v>
      </c>
      <c r="C952">
        <v>434.11</v>
      </c>
      <c r="D952">
        <v>417.29520000000002</v>
      </c>
    </row>
    <row r="953" spans="1:4" x14ac:dyDescent="0.35">
      <c r="A953" t="s">
        <v>955</v>
      </c>
      <c r="B953">
        <v>214.81639999999999</v>
      </c>
      <c r="C953">
        <v>439.13369999999998</v>
      </c>
      <c r="D953">
        <v>391.6728</v>
      </c>
    </row>
    <row r="954" spans="1:4" x14ac:dyDescent="0.35">
      <c r="A954" t="s">
        <v>956</v>
      </c>
      <c r="B954">
        <v>209.5899</v>
      </c>
      <c r="C954">
        <v>432.2484</v>
      </c>
      <c r="D954">
        <v>401.0247</v>
      </c>
    </row>
    <row r="955" spans="1:4" x14ac:dyDescent="0.35">
      <c r="A955" t="s">
        <v>957</v>
      </c>
      <c r="B955">
        <v>215.81639999999999</v>
      </c>
      <c r="C955">
        <v>433.9271</v>
      </c>
      <c r="D955">
        <v>403.84649999999999</v>
      </c>
    </row>
    <row r="956" spans="1:4" x14ac:dyDescent="0.35">
      <c r="A956" t="s">
        <v>958</v>
      </c>
      <c r="B956">
        <v>215.54830000000001</v>
      </c>
      <c r="C956">
        <v>447.76799999999997</v>
      </c>
      <c r="D956">
        <v>410.27719999999999</v>
      </c>
    </row>
    <row r="957" spans="1:4" x14ac:dyDescent="0.35">
      <c r="A957" t="s">
        <v>959</v>
      </c>
      <c r="B957">
        <v>220.50739999999999</v>
      </c>
      <c r="C957">
        <v>441.76229999999998</v>
      </c>
      <c r="D957">
        <v>461.8177</v>
      </c>
    </row>
    <row r="958" spans="1:4" x14ac:dyDescent="0.35">
      <c r="A958" t="s">
        <v>960</v>
      </c>
      <c r="B958">
        <v>222.1129</v>
      </c>
      <c r="C958">
        <v>425.43200000000002</v>
      </c>
      <c r="D958">
        <v>434.06610000000001</v>
      </c>
    </row>
    <row r="959" spans="1:4" x14ac:dyDescent="0.35">
      <c r="A959" t="s">
        <v>961</v>
      </c>
      <c r="B959">
        <v>224.24080000000001</v>
      </c>
      <c r="C959">
        <v>423.73259999999999</v>
      </c>
      <c r="D959">
        <v>457.36770000000001</v>
      </c>
    </row>
    <row r="960" spans="1:4" x14ac:dyDescent="0.35">
      <c r="A960" t="s">
        <v>962</v>
      </c>
      <c r="B960">
        <v>226.9015</v>
      </c>
      <c r="C960">
        <v>430.91230000000002</v>
      </c>
      <c r="D960">
        <v>453.69</v>
      </c>
    </row>
    <row r="961" spans="1:4" x14ac:dyDescent="0.35">
      <c r="A961" t="s">
        <v>963</v>
      </c>
      <c r="B961">
        <v>229.03389999999999</v>
      </c>
      <c r="C961">
        <v>443.88580000000002</v>
      </c>
      <c r="D961">
        <v>457.86939999999998</v>
      </c>
    </row>
    <row r="962" spans="1:4" x14ac:dyDescent="0.35">
      <c r="A962" t="s">
        <v>964</v>
      </c>
      <c r="B962">
        <v>232.0899</v>
      </c>
      <c r="C962">
        <v>435.89940000000001</v>
      </c>
      <c r="D962">
        <v>457.49630000000002</v>
      </c>
    </row>
    <row r="963" spans="1:4" x14ac:dyDescent="0.35">
      <c r="A963" t="s">
        <v>965</v>
      </c>
      <c r="B963">
        <v>238.4376</v>
      </c>
      <c r="C963">
        <v>439.28550000000001</v>
      </c>
      <c r="D963">
        <v>451.95909999999998</v>
      </c>
    </row>
    <row r="964" spans="1:4" x14ac:dyDescent="0.35">
      <c r="A964" t="s">
        <v>966</v>
      </c>
      <c r="B964">
        <v>239.47239999999999</v>
      </c>
      <c r="C964">
        <v>436.35550000000001</v>
      </c>
      <c r="D964">
        <v>444.54289999999997</v>
      </c>
    </row>
    <row r="965" spans="1:4" x14ac:dyDescent="0.35">
      <c r="A965" t="s">
        <v>967</v>
      </c>
      <c r="B965">
        <v>242.98949999999999</v>
      </c>
      <c r="C965">
        <v>435.78789999999998</v>
      </c>
      <c r="D965">
        <v>449.20609999999999</v>
      </c>
    </row>
    <row r="966" spans="1:4" x14ac:dyDescent="0.35">
      <c r="A966" t="s">
        <v>968</v>
      </c>
      <c r="B966">
        <v>242.6508</v>
      </c>
      <c r="C966">
        <v>453.55119999999999</v>
      </c>
      <c r="D966">
        <v>429.45490000000001</v>
      </c>
    </row>
    <row r="967" spans="1:4" x14ac:dyDescent="0.35">
      <c r="A967" t="s">
        <v>969</v>
      </c>
      <c r="B967">
        <v>249.84129999999999</v>
      </c>
      <c r="C967">
        <v>443.56799999999998</v>
      </c>
      <c r="D967">
        <v>439.47640000000001</v>
      </c>
    </row>
    <row r="968" spans="1:4" x14ac:dyDescent="0.35">
      <c r="A968" t="s">
        <v>970</v>
      </c>
      <c r="B968">
        <v>246.58279999999999</v>
      </c>
      <c r="C968">
        <v>445.38760000000002</v>
      </c>
      <c r="D968">
        <v>434.26209999999998</v>
      </c>
    </row>
    <row r="969" spans="1:4" x14ac:dyDescent="0.35">
      <c r="A969" t="s">
        <v>971</v>
      </c>
      <c r="B969">
        <v>255.7286</v>
      </c>
      <c r="C969">
        <v>448.65210000000002</v>
      </c>
      <c r="D969">
        <v>420.01740000000001</v>
      </c>
    </row>
    <row r="970" spans="1:4" x14ac:dyDescent="0.35">
      <c r="A970" t="s">
        <v>972</v>
      </c>
      <c r="B970">
        <v>255.62549999999999</v>
      </c>
      <c r="C970">
        <v>456.15010000000001</v>
      </c>
      <c r="D970">
        <v>414.61309999999997</v>
      </c>
    </row>
    <row r="971" spans="1:4" x14ac:dyDescent="0.35">
      <c r="A971" t="s">
        <v>973</v>
      </c>
      <c r="B971">
        <v>248.5137</v>
      </c>
      <c r="C971">
        <v>456.95240000000001</v>
      </c>
      <c r="D971">
        <v>430.78550000000001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0"/>
  <sheetViews>
    <sheetView topLeftCell="A957" workbookViewId="0">
      <selection activeCell="D989" sqref="D989"/>
    </sheetView>
  </sheetViews>
  <sheetFormatPr baseColWidth="10" defaultColWidth="8.90625" defaultRowHeight="14.5" x14ac:dyDescent="0.35"/>
  <cols>
    <col min="1" max="1" width="24.1796875" bestFit="1" customWidth="1"/>
    <col min="2" max="4" width="12.6328125" bestFit="1" customWidth="1"/>
    <col min="7" max="7" width="8.90625" customWidth="1"/>
  </cols>
  <sheetData>
    <row r="1" spans="1:8" x14ac:dyDescent="0.35">
      <c r="A1" s="1" t="s">
        <v>0</v>
      </c>
      <c r="B1" s="1" t="s">
        <v>974</v>
      </c>
      <c r="C1" s="1" t="s">
        <v>975</v>
      </c>
      <c r="D1" s="1" t="s">
        <v>976</v>
      </c>
      <c r="E1" s="1"/>
      <c r="G1" s="1"/>
      <c r="H1" s="2"/>
    </row>
    <row r="2" spans="1:8" x14ac:dyDescent="0.35">
      <c r="A2" t="str">
        <f>Data!A3</f>
        <v>2022-01-04</v>
      </c>
      <c r="B2">
        <f>IF(OR(Data!B3="",Data!B2=""),"",Data!B3/Data!B2-1)</f>
        <v>-2.36245877821184E-3</v>
      </c>
      <c r="C2">
        <f>IF(OR(Data!C3="",Data!C2=""),"",Data!C3/Data!C2-1)</f>
        <v>-9.8788212998324187E-3</v>
      </c>
      <c r="D2">
        <f>IF(OR(Data!D3="",Data!D2=""),"",Data!D3/Data!D2-1)</f>
        <v>-1.1136918292461218E-2</v>
      </c>
      <c r="G2" s="1"/>
    </row>
    <row r="3" spans="1:8" x14ac:dyDescent="0.35">
      <c r="A3" t="str">
        <f>Data!A4</f>
        <v>2022-01-05</v>
      </c>
      <c r="B3">
        <f>IF(OR(Data!B4="",Data!B3=""),"",Data!B4/Data!B3-1)</f>
        <v>1.3443439044207306E-2</v>
      </c>
      <c r="C3">
        <f>IF(OR(Data!C4="",Data!C3=""),"",Data!C4/Data!C3-1)</f>
        <v>1.2980477887973185E-2</v>
      </c>
      <c r="D3">
        <f>IF(OR(Data!D4="",Data!D3=""),"",Data!D4/Data!D3-1)</f>
        <v>8.6611862891086133E-3</v>
      </c>
    </row>
    <row r="4" spans="1:8" x14ac:dyDescent="0.35">
      <c r="A4" t="str">
        <f>Data!A5</f>
        <v>2022-01-06</v>
      </c>
      <c r="B4">
        <f>IF(OR(Data!B5="",Data!B4=""),"",Data!B5/Data!B4-1)</f>
        <v>3.1341527401444136E-2</v>
      </c>
      <c r="C4">
        <f>IF(OR(Data!C5="",Data!C4=""),"",Data!C5/Data!C4-1)</f>
        <v>-9.4569060484006595E-3</v>
      </c>
      <c r="D4">
        <f>IF(OR(Data!D5="",Data!D4=""),"",Data!D5/Data!D4-1)</f>
        <v>-9.6982651636845496E-3</v>
      </c>
    </row>
    <row r="5" spans="1:8" x14ac:dyDescent="0.35">
      <c r="A5" t="str">
        <f>Data!A6</f>
        <v>2022-01-07</v>
      </c>
      <c r="B5">
        <f>IF(OR(Data!B6="",Data!B5=""),"",Data!B6/Data!B5-1)</f>
        <v>-4.2740437503381301E-3</v>
      </c>
      <c r="C5">
        <f>IF(OR(Data!C6="",Data!C5=""),"",Data!C6/Data!C5-1)</f>
        <v>-6.3848819707430504E-3</v>
      </c>
      <c r="D5">
        <f>IF(OR(Data!D6="",Data!D5=""),"",Data!D6/Data!D5-1)</f>
        <v>1.9382469809974934E-2</v>
      </c>
    </row>
    <row r="6" spans="1:8" x14ac:dyDescent="0.35">
      <c r="A6" t="str">
        <f>Data!A7</f>
        <v>2022-01-10</v>
      </c>
      <c r="B6">
        <f>IF(OR(Data!B7="",Data!B6=""),"",Data!B7/Data!B6-1)</f>
        <v>-4.2733250338873319E-3</v>
      </c>
      <c r="C6">
        <f>IF(OR(Data!C7="",Data!C6=""),"",Data!C7/Data!C6-1)</f>
        <v>-2.7665243478401491E-2</v>
      </c>
      <c r="D6">
        <f>IF(OR(Data!D7="",Data!D6=""),"",Data!D7/Data!D6-1)</f>
        <v>-1.0482815322868544E-2</v>
      </c>
    </row>
    <row r="7" spans="1:8" x14ac:dyDescent="0.35">
      <c r="A7" t="str">
        <f>Data!A8</f>
        <v>2022-01-11</v>
      </c>
      <c r="B7">
        <f>IF(OR(Data!B8="",Data!B7=""),"",Data!B8/Data!B7-1)</f>
        <v>3.2501007579101016E-2</v>
      </c>
      <c r="C7">
        <f>IF(OR(Data!C8="",Data!C7=""),"",Data!C8/Data!C7-1)</f>
        <v>-6.4763742283967529E-3</v>
      </c>
      <c r="D7">
        <f>IF(OR(Data!D8="",Data!D7=""),"",Data!D8/Data!D7-1)</f>
        <v>1.1933632030277863E-2</v>
      </c>
    </row>
    <row r="8" spans="1:8" x14ac:dyDescent="0.35">
      <c r="A8" t="str">
        <f>Data!A9</f>
        <v>2022-01-12</v>
      </c>
      <c r="B8">
        <f>IF(OR(Data!B9="",Data!B8=""),"",Data!B9/Data!B8-1)</f>
        <v>1.5873413238166822E-2</v>
      </c>
      <c r="C8">
        <f>IF(OR(Data!C9="",Data!C8=""),"",Data!C9/Data!C8-1)</f>
        <v>-3.5427792565806526E-2</v>
      </c>
      <c r="D8">
        <f>IF(OR(Data!D9="",Data!D8=""),"",Data!D9/Data!D8-1)</f>
        <v>-3.2804435473965388E-4</v>
      </c>
    </row>
    <row r="9" spans="1:8" x14ac:dyDescent="0.35">
      <c r="A9" t="str">
        <f>Data!A10</f>
        <v>2022-01-13</v>
      </c>
      <c r="B9">
        <f>IF(OR(Data!B10="",Data!B9=""),"",Data!B10/Data!B9-1)</f>
        <v>-8.9490011892450205E-3</v>
      </c>
      <c r="C9">
        <f>IF(OR(Data!C10="",Data!C9=""),"",Data!C10/Data!C9-1)</f>
        <v>-2.3197809087773358E-2</v>
      </c>
      <c r="D9">
        <f>IF(OR(Data!D10="",Data!D9=""),"",Data!D10/Data!D9-1)</f>
        <v>3.4927556024094697E-2</v>
      </c>
    </row>
    <row r="10" spans="1:8" x14ac:dyDescent="0.35">
      <c r="A10" t="str">
        <f>Data!A11</f>
        <v>2022-01-14</v>
      </c>
      <c r="B10">
        <f>IF(OR(Data!B11="",Data!B10=""),"",Data!B11/Data!B10-1)</f>
        <v>1.1314659141979266E-2</v>
      </c>
      <c r="C10">
        <f>IF(OR(Data!C11="",Data!C10=""),"",Data!C11/Data!C10-1)</f>
        <v>1.1762571952099954E-2</v>
      </c>
      <c r="D10">
        <f>IF(OR(Data!D11="",Data!D10=""),"",Data!D11/Data!D10-1)</f>
        <v>-9.9110379913636137E-4</v>
      </c>
    </row>
    <row r="11" spans="1:8" x14ac:dyDescent="0.35">
      <c r="A11" t="str">
        <f>Data!A12</f>
        <v>2022-01-17</v>
      </c>
      <c r="B11">
        <f>IF(OR(Data!B12="",Data!B11=""),"",Data!B12/Data!B11-1)</f>
        <v>-8.8295235372003456E-3</v>
      </c>
      <c r="C11">
        <f>IF(OR(Data!C12="",Data!C11=""),"",Data!C12/Data!C11-1)</f>
        <v>1.2147550184287814E-2</v>
      </c>
      <c r="D11">
        <f>IF(OR(Data!D12="",Data!D11=""),"",Data!D12/Data!D11-1)</f>
        <v>-5.1279687777658456E-2</v>
      </c>
    </row>
    <row r="12" spans="1:8" x14ac:dyDescent="0.35">
      <c r="A12" t="str">
        <f>Data!A13</f>
        <v>2022-01-18</v>
      </c>
      <c r="B12">
        <f>IF(OR(Data!B13="",Data!B12=""),"",Data!B13/Data!B12-1)</f>
        <v>-8.8751035888127161E-3</v>
      </c>
      <c r="C12">
        <f>IF(OR(Data!C13="",Data!C12=""),"",Data!C13/Data!C12-1)</f>
        <v>6.6916615939398572E-3</v>
      </c>
      <c r="D12">
        <f>IF(OR(Data!D13="",Data!D12=""),"",Data!D13/Data!D12-1)</f>
        <v>3.9155057674355342E-2</v>
      </c>
    </row>
    <row r="13" spans="1:8" x14ac:dyDescent="0.35">
      <c r="A13" t="str">
        <f>Data!A14</f>
        <v>2022-01-19</v>
      </c>
      <c r="B13">
        <f>IF(OR(Data!B14="",Data!B13=""),"",Data!B14/Data!B13-1)</f>
        <v>5.2531660823635917E-3</v>
      </c>
      <c r="C13">
        <f>IF(OR(Data!C14="",Data!C13=""),"",Data!C14/Data!C13-1)</f>
        <v>-1.4116641651166772E-2</v>
      </c>
      <c r="D13">
        <f>IF(OR(Data!D14="",Data!D13=""),"",Data!D14/Data!D13-1)</f>
        <v>-2.6271018983956007E-2</v>
      </c>
    </row>
    <row r="14" spans="1:8" x14ac:dyDescent="0.35">
      <c r="A14" t="str">
        <f>Data!A15</f>
        <v>2022-01-20</v>
      </c>
      <c r="B14">
        <f>IF(OR(Data!B15="",Data!B14=""),"",Data!B15/Data!B14-1)</f>
        <v>-3.7157255554684632E-2</v>
      </c>
      <c r="C14">
        <f>IF(OR(Data!C15="",Data!C14=""),"",Data!C15/Data!C14-1)</f>
        <v>-4.283176222835694E-4</v>
      </c>
      <c r="D14">
        <f>IF(OR(Data!D15="",Data!D14=""),"",Data!D15/Data!D14-1)</f>
        <v>-1.8882399524846605E-2</v>
      </c>
    </row>
    <row r="15" spans="1:8" x14ac:dyDescent="0.35">
      <c r="A15" t="str">
        <f>Data!A16</f>
        <v>2022-01-21</v>
      </c>
      <c r="B15">
        <f>IF(OR(Data!B16="",Data!B15=""),"",Data!B16/Data!B15-1)</f>
        <v>-3.3523918977158562E-2</v>
      </c>
      <c r="C15">
        <f>IF(OR(Data!C16="",Data!C15=""),"",Data!C16/Data!C15-1)</f>
        <v>2.3392665197041751E-4</v>
      </c>
      <c r="D15">
        <f>IF(OR(Data!D16="",Data!D15=""),"",Data!D16/Data!D15-1)</f>
        <v>-1.7170387186278169E-2</v>
      </c>
    </row>
    <row r="16" spans="1:8" x14ac:dyDescent="0.35">
      <c r="A16" t="str">
        <f>Data!A17</f>
        <v>2022-01-24</v>
      </c>
      <c r="B16">
        <f>IF(OR(Data!B17="",Data!B16=""),"",Data!B17/Data!B16-1)</f>
        <v>-1.0787338997528595E-2</v>
      </c>
      <c r="C16">
        <f>IF(OR(Data!C17="",Data!C16=""),"",Data!C17/Data!C16-1)</f>
        <v>-1.694296584595345E-2</v>
      </c>
      <c r="D16">
        <f>IF(OR(Data!D17="",Data!D16=""),"",Data!D17/Data!D16-1)</f>
        <v>4.2668310565471712E-2</v>
      </c>
    </row>
    <row r="17" spans="1:4" x14ac:dyDescent="0.35">
      <c r="A17" t="str">
        <f>Data!A18</f>
        <v>2022-01-25</v>
      </c>
      <c r="B17">
        <f>IF(OR(Data!B18="",Data!B17=""),"",Data!B18/Data!B17-1)</f>
        <v>-1.9660208763248033E-2</v>
      </c>
      <c r="C17">
        <f>IF(OR(Data!C18="",Data!C17=""),"",Data!C18/Data!C17-1)</f>
        <v>2.3101021202987182E-2</v>
      </c>
      <c r="D17">
        <f>IF(OR(Data!D18="",Data!D17=""),"",Data!D18/Data!D17-1)</f>
        <v>-6.1545058166009414E-2</v>
      </c>
    </row>
    <row r="18" spans="1:4" x14ac:dyDescent="0.35">
      <c r="A18" t="str">
        <f>Data!A19</f>
        <v>2022-01-26</v>
      </c>
      <c r="B18">
        <f>IF(OR(Data!B19="",Data!B18=""),"",Data!B19/Data!B18-1)</f>
        <v>6.7073083502107167E-3</v>
      </c>
      <c r="C18">
        <f>IF(OR(Data!C19="",Data!C18=""),"",Data!C19/Data!C18-1)</f>
        <v>1.3538955464877267E-2</v>
      </c>
      <c r="D18">
        <f>IF(OR(Data!D19="",Data!D18=""),"",Data!D19/Data!D18-1)</f>
        <v>9.9309560504468708E-2</v>
      </c>
    </row>
    <row r="19" spans="1:4" x14ac:dyDescent="0.35">
      <c r="A19" t="str">
        <f>Data!A20</f>
        <v>2022-01-27</v>
      </c>
      <c r="B19">
        <f>IF(OR(Data!B20="",Data!B19=""),"",Data!B20/Data!B19-1)</f>
        <v>-1.7603568013739412E-2</v>
      </c>
      <c r="C19">
        <f>IF(OR(Data!C20="",Data!C19=""),"",Data!C20/Data!C19-1)</f>
        <v>-3.0225472447219515E-3</v>
      </c>
      <c r="D19">
        <f>IF(OR(Data!D20="",Data!D19=""),"",Data!D20/Data!D19-1)</f>
        <v>3.2757088772011222E-2</v>
      </c>
    </row>
    <row r="20" spans="1:4" x14ac:dyDescent="0.35">
      <c r="A20" t="str">
        <f>Data!A21</f>
        <v>2022-01-28</v>
      </c>
      <c r="B20">
        <f>IF(OR(Data!B21="",Data!B20=""),"",Data!B21/Data!B20-1)</f>
        <v>-2.7462791430534539E-2</v>
      </c>
      <c r="C20">
        <f>IF(OR(Data!C21="",Data!C20=""),"",Data!C21/Data!C20-1)</f>
        <v>6.9107806744761469E-4</v>
      </c>
      <c r="D20">
        <f>IF(OR(Data!D21="",Data!D20=""),"",Data!D21/Data!D20-1)</f>
        <v>7.2735337536413702E-3</v>
      </c>
    </row>
    <row r="21" spans="1:4" x14ac:dyDescent="0.35">
      <c r="A21" t="str">
        <f>Data!A22</f>
        <v>2022-01-31</v>
      </c>
      <c r="B21">
        <f>IF(OR(Data!B22="",Data!B21=""),"",Data!B22/Data!B21-1)</f>
        <v>3.0159092719980851E-2</v>
      </c>
      <c r="C21">
        <f>IF(OR(Data!C22="",Data!C21=""),"",Data!C22/Data!C21-1)</f>
        <v>3.4193336705146127E-3</v>
      </c>
      <c r="D21">
        <f>IF(OR(Data!D22="",Data!D21=""),"",Data!D22/Data!D21-1)</f>
        <v>-1.0963166969950588E-3</v>
      </c>
    </row>
    <row r="22" spans="1:4" x14ac:dyDescent="0.35">
      <c r="A22" t="str">
        <f>Data!A23</f>
        <v>2022-02-01</v>
      </c>
      <c r="B22">
        <f>IF(OR(Data!B23="",Data!B22=""),"",Data!B23/Data!B22-1)</f>
        <v>-4.1065813586782518E-3</v>
      </c>
      <c r="C22">
        <f>IF(OR(Data!C23="",Data!C22=""),"",Data!C23/Data!C22-1)</f>
        <v>-2.9883076466149072E-2</v>
      </c>
      <c r="D22">
        <f>IF(OR(Data!D23="",Data!D22=""),"",Data!D23/Data!D22-1)</f>
        <v>9.1580920052332093E-3</v>
      </c>
    </row>
    <row r="23" spans="1:4" x14ac:dyDescent="0.35">
      <c r="A23" t="str">
        <f>Data!A24</f>
        <v>2022-02-02</v>
      </c>
      <c r="B23">
        <f>IF(OR(Data!B24="",Data!B23=""),"",Data!B24/Data!B23-1)</f>
        <v>1.7521313974284691E-3</v>
      </c>
      <c r="C23">
        <f>IF(OR(Data!C24="",Data!C23=""),"",Data!C24/Data!C23-1)</f>
        <v>-3.4140342639807919E-3</v>
      </c>
      <c r="D23">
        <f>IF(OR(Data!D24="",Data!D23=""),"",Data!D24/Data!D23-1)</f>
        <v>1.6315674514693512E-2</v>
      </c>
    </row>
    <row r="24" spans="1:4" x14ac:dyDescent="0.35">
      <c r="A24" t="str">
        <f>Data!A25</f>
        <v>2022-02-03</v>
      </c>
      <c r="B24">
        <f>IF(OR(Data!B25="",Data!B24=""),"",Data!B25/Data!B24-1)</f>
        <v>-2.7703894981563559E-2</v>
      </c>
      <c r="C24">
        <f>IF(OR(Data!C25="",Data!C24=""),"",Data!C25/Data!C24-1)</f>
        <v>-9.8931887127410301E-3</v>
      </c>
      <c r="D24">
        <f>IF(OR(Data!D25="",Data!D24=""),"",Data!D25/Data!D24-1)</f>
        <v>2.0105801153827985E-2</v>
      </c>
    </row>
    <row r="25" spans="1:4" x14ac:dyDescent="0.35">
      <c r="A25" t="str">
        <f>Data!A26</f>
        <v>2022-02-04</v>
      </c>
      <c r="B25">
        <f>IF(OR(Data!B26="",Data!B25=""),"",Data!B26/Data!B25-1)</f>
        <v>-1.0433002010476589E-2</v>
      </c>
      <c r="C25">
        <f>IF(OR(Data!C26="",Data!C25=""),"",Data!C26/Data!C25-1)</f>
        <v>-1.4628940002252455E-2</v>
      </c>
      <c r="D25">
        <f>IF(OR(Data!D26="",Data!D25=""),"",Data!D26/Data!D25-1)</f>
        <v>1.7367030381769233E-2</v>
      </c>
    </row>
    <row r="26" spans="1:4" x14ac:dyDescent="0.35">
      <c r="A26" t="str">
        <f>Data!A27</f>
        <v>2022-02-07</v>
      </c>
      <c r="B26">
        <f>IF(OR(Data!B27="",Data!B26=""),"",Data!B27/Data!B26-1)</f>
        <v>2.6215136017877505E-3</v>
      </c>
      <c r="C26">
        <f>IF(OR(Data!C27="",Data!C26=""),"",Data!C27/Data!C26-1)</f>
        <v>-3.9208176494319735E-3</v>
      </c>
      <c r="D26">
        <f>IF(OR(Data!D27="",Data!D26=""),"",Data!D27/Data!D26-1)</f>
        <v>3.2425790842431912E-3</v>
      </c>
    </row>
    <row r="27" spans="1:4" x14ac:dyDescent="0.35">
      <c r="A27" t="str">
        <f>Data!A28</f>
        <v>2022-02-08</v>
      </c>
      <c r="B27">
        <f>IF(OR(Data!B28="",Data!B27=""),"",Data!B28/Data!B27-1)</f>
        <v>-2.2366052293184668E-2</v>
      </c>
      <c r="C27">
        <f>IF(OR(Data!C28="",Data!C27=""),"",Data!C28/Data!C27-1)</f>
        <v>2.7627466520969701E-2</v>
      </c>
      <c r="D27">
        <f>IF(OR(Data!D28="",Data!D27=""),"",Data!D28/Data!D27-1)</f>
        <v>-5.3555824658212403E-3</v>
      </c>
    </row>
    <row r="28" spans="1:4" x14ac:dyDescent="0.35">
      <c r="A28" t="str">
        <f>Data!A29</f>
        <v>2022-02-09</v>
      </c>
      <c r="B28">
        <f>IF(OR(Data!B29="",Data!B28=""),"",Data!B29/Data!B28-1)</f>
        <v>7.9456072815917711E-3</v>
      </c>
      <c r="C28">
        <f>IF(OR(Data!C29="",Data!C28=""),"",Data!C29/Data!C28-1)</f>
        <v>9.9487551115480244E-3</v>
      </c>
      <c r="D28">
        <f>IF(OR(Data!D29="",Data!D28=""),"",Data!D29/Data!D28-1)</f>
        <v>-3.9801640315265674E-3</v>
      </c>
    </row>
    <row r="29" spans="1:4" x14ac:dyDescent="0.35">
      <c r="A29" t="str">
        <f>Data!A30</f>
        <v>2022-02-10</v>
      </c>
      <c r="B29">
        <f>IF(OR(Data!B30="",Data!B29=""),"",Data!B30/Data!B29-1)</f>
        <v>-1.1545525823286162E-2</v>
      </c>
      <c r="C29">
        <f>IF(OR(Data!C30="",Data!C29=""),"",Data!C30/Data!C29-1)</f>
        <v>-8.2458133936258449E-3</v>
      </c>
      <c r="D29">
        <f>IF(OR(Data!D30="",Data!D29=""),"",Data!D30/Data!D29-1)</f>
        <v>-5.2835273057483256E-3</v>
      </c>
    </row>
    <row r="30" spans="1:4" x14ac:dyDescent="0.35">
      <c r="A30" t="str">
        <f>Data!A31</f>
        <v>2022-02-11</v>
      </c>
      <c r="B30">
        <f>IF(OR(Data!B31="",Data!B30=""),"",Data!B31/Data!B30-1)</f>
        <v>-5.4193803907762739E-3</v>
      </c>
      <c r="C30">
        <f>IF(OR(Data!C31="",Data!C30=""),"",Data!C31/Data!C30-1)</f>
        <v>8.9160604257441101E-3</v>
      </c>
      <c r="D30">
        <f>IF(OR(Data!D31="",Data!D30=""),"",Data!D31/Data!D30-1)</f>
        <v>3.5167691281868585E-2</v>
      </c>
    </row>
    <row r="31" spans="1:4" x14ac:dyDescent="0.35">
      <c r="A31" t="str">
        <f>Data!A32</f>
        <v>2022-02-14</v>
      </c>
      <c r="B31">
        <f>IF(OR(Data!B32="",Data!B31=""),"",Data!B32/Data!B31-1)</f>
        <v>-1.1567042832459906E-2</v>
      </c>
      <c r="C31">
        <f>IF(OR(Data!C32="",Data!C31=""),"",Data!C32/Data!C31-1)</f>
        <v>2.150594285521934E-2</v>
      </c>
      <c r="D31">
        <f>IF(OR(Data!D32="",Data!D31=""),"",Data!D32/Data!D31-1)</f>
        <v>1.852598156465235E-2</v>
      </c>
    </row>
    <row r="32" spans="1:4" x14ac:dyDescent="0.35">
      <c r="A32" t="str">
        <f>Data!A33</f>
        <v>2022-02-15</v>
      </c>
      <c r="B32">
        <f>IF(OR(Data!B33="",Data!B32=""),"",Data!B33/Data!B32-1)</f>
        <v>3.8155637398903597E-2</v>
      </c>
      <c r="C32">
        <f>IF(OR(Data!C33="",Data!C32=""),"",Data!C33/Data!C32-1)</f>
        <v>1.4257275666212488E-2</v>
      </c>
      <c r="D32">
        <f>IF(OR(Data!D33="",Data!D32=""),"",Data!D33/Data!D32-1)</f>
        <v>-8.3929293510404457E-2</v>
      </c>
    </row>
    <row r="33" spans="1:4" x14ac:dyDescent="0.35">
      <c r="A33" t="str">
        <f>Data!A34</f>
        <v>2022-02-16</v>
      </c>
      <c r="B33">
        <f>IF(OR(Data!B34="",Data!B33=""),"",Data!B34/Data!B33-1)</f>
        <v>1.3043403271839615E-4</v>
      </c>
      <c r="C33">
        <f>IF(OR(Data!C34="",Data!C33=""),"",Data!C34/Data!C33-1)</f>
        <v>1.1829998333205971E-3</v>
      </c>
      <c r="D33">
        <f>IF(OR(Data!D34="",Data!D33=""),"",Data!D34/Data!D33-1)</f>
        <v>2.043332602915493E-2</v>
      </c>
    </row>
    <row r="34" spans="1:4" x14ac:dyDescent="0.35">
      <c r="A34" t="str">
        <f>Data!A35</f>
        <v>2022-02-17</v>
      </c>
      <c r="B34">
        <f>IF(OR(Data!B35="",Data!B34=""),"",Data!B35/Data!B34-1)</f>
        <v>-2.0540142035993081E-2</v>
      </c>
      <c r="C34">
        <f>IF(OR(Data!C35="",Data!C34=""),"",Data!C35/Data!C34-1)</f>
        <v>-9.372396507537184E-3</v>
      </c>
      <c r="D34">
        <f>IF(OR(Data!D35="",Data!D34=""),"",Data!D35/Data!D34-1)</f>
        <v>6.4124616848439953E-3</v>
      </c>
    </row>
    <row r="35" spans="1:4" x14ac:dyDescent="0.35">
      <c r="A35" t="str">
        <f>Data!A36</f>
        <v>2022-02-18</v>
      </c>
      <c r="B35">
        <f>IF(OR(Data!B36="",Data!B35=""),"",Data!B36/Data!B35-1)</f>
        <v>1.6993934432002256E-2</v>
      </c>
      <c r="C35">
        <f>IF(OR(Data!C36="",Data!C35=""),"",Data!C36/Data!C35-1)</f>
        <v>1.0819059718104818E-2</v>
      </c>
      <c r="D35">
        <f>IF(OR(Data!D36="",Data!D35=""),"",Data!D36/Data!D35-1)</f>
        <v>-1.1438355622006569E-5</v>
      </c>
    </row>
    <row r="36" spans="1:4" x14ac:dyDescent="0.35">
      <c r="A36" t="str">
        <f>Data!A37</f>
        <v>2022-02-21</v>
      </c>
      <c r="B36">
        <f>IF(OR(Data!B37="",Data!B36=""),"",Data!B37/Data!B36-1)</f>
        <v>-2.3731333432159829E-2</v>
      </c>
      <c r="C36">
        <f>IF(OR(Data!C37="",Data!C36=""),"",Data!C37/Data!C36-1)</f>
        <v>6.2086378475407766E-3</v>
      </c>
      <c r="D36">
        <f>IF(OR(Data!D37="",Data!D36=""),"",Data!D37/Data!D36-1)</f>
        <v>-1.1043858676619944E-2</v>
      </c>
    </row>
    <row r="37" spans="1:4" x14ac:dyDescent="0.35">
      <c r="A37" t="str">
        <f>Data!A38</f>
        <v>2022-02-22</v>
      </c>
      <c r="B37">
        <f>IF(OR(Data!B38="",Data!B37=""),"",Data!B38/Data!B37-1)</f>
        <v>4.5874355913624321E-3</v>
      </c>
      <c r="C37">
        <f>IF(OR(Data!C38="",Data!C37=""),"",Data!C38/Data!C37-1)</f>
        <v>1.3810249620699544E-2</v>
      </c>
      <c r="D37">
        <f>IF(OR(Data!D38="",Data!D37=""),"",Data!D38/Data!D37-1)</f>
        <v>3.4867266479086334E-2</v>
      </c>
    </row>
    <row r="38" spans="1:4" x14ac:dyDescent="0.35">
      <c r="A38" t="str">
        <f>Data!A39</f>
        <v>2022-02-23</v>
      </c>
      <c r="B38">
        <f>IF(OR(Data!B39="",Data!B38=""),"",Data!B39/Data!B38-1)</f>
        <v>-3.8050014011690281E-2</v>
      </c>
      <c r="C38">
        <f>IF(OR(Data!C39="",Data!C38=""),"",Data!C39/Data!C38-1)</f>
        <v>9.8631779294646726E-3</v>
      </c>
      <c r="D38">
        <f>IF(OR(Data!D39="",Data!D38=""),"",Data!D39/Data!D38-1)</f>
        <v>2.9399854877092402E-2</v>
      </c>
    </row>
    <row r="39" spans="1:4" x14ac:dyDescent="0.35">
      <c r="A39" t="str">
        <f>Data!A40</f>
        <v>2022-02-24</v>
      </c>
      <c r="B39">
        <f>IF(OR(Data!B40="",Data!B39=""),"",Data!B40/Data!B39-1)</f>
        <v>-2.5824121628906238E-2</v>
      </c>
      <c r="C39">
        <f>IF(OR(Data!C40="",Data!C39=""),"",Data!C40/Data!C39-1)</f>
        <v>1.6159541104593167E-2</v>
      </c>
      <c r="D39">
        <f>IF(OR(Data!D40="",Data!D39=""),"",Data!D40/Data!D39-1)</f>
        <v>-2.2382372383645932E-2</v>
      </c>
    </row>
    <row r="40" spans="1:4" x14ac:dyDescent="0.35">
      <c r="A40" t="str">
        <f>Data!A41</f>
        <v>2022-02-25</v>
      </c>
      <c r="B40">
        <f>IF(OR(Data!B41="",Data!B40=""),"",Data!B41/Data!B40-1)</f>
        <v>4.3466897108721536E-3</v>
      </c>
      <c r="C40">
        <f>IF(OR(Data!C41="",Data!C40=""),"",Data!C41/Data!C40-1)</f>
        <v>-7.711026943504562E-3</v>
      </c>
      <c r="D40">
        <f>IF(OR(Data!D41="",Data!D40=""),"",Data!D41/Data!D40-1)</f>
        <v>1.2843546062573985E-2</v>
      </c>
    </row>
    <row r="41" spans="1:4" x14ac:dyDescent="0.35">
      <c r="A41" t="str">
        <f>Data!A42</f>
        <v>2022-02-28</v>
      </c>
      <c r="B41">
        <f>IF(OR(Data!B42="",Data!B41=""),"",Data!B42/Data!B41-1)</f>
        <v>1.5284723247924514E-2</v>
      </c>
      <c r="C41">
        <f>IF(OR(Data!C42="",Data!C41=""),"",Data!C42/Data!C41-1)</f>
        <v>2.0250721278076478E-2</v>
      </c>
      <c r="D41">
        <f>IF(OR(Data!D42="",Data!D41=""),"",Data!D42/Data!D41-1)</f>
        <v>-2.8194567567180084E-2</v>
      </c>
    </row>
    <row r="42" spans="1:4" x14ac:dyDescent="0.35">
      <c r="A42" t="str">
        <f>Data!A43</f>
        <v>2022-03-01</v>
      </c>
      <c r="B42">
        <f>IF(OR(Data!B43="",Data!B42=""),"",Data!B43/Data!B42-1)</f>
        <v>3.8343726511436138E-3</v>
      </c>
      <c r="C42">
        <f>IF(OR(Data!C43="",Data!C42=""),"",Data!C43/Data!C42-1)</f>
        <v>3.2572748574943855E-3</v>
      </c>
      <c r="D42">
        <f>IF(OR(Data!D43="",Data!D42=""),"",Data!D43/Data!D42-1)</f>
        <v>-4.0015848548286881E-2</v>
      </c>
    </row>
    <row r="43" spans="1:4" x14ac:dyDescent="0.35">
      <c r="A43" t="str">
        <f>Data!A44</f>
        <v>2022-03-02</v>
      </c>
      <c r="B43">
        <f>IF(OR(Data!B44="",Data!B43=""),"",Data!B44/Data!B43-1)</f>
        <v>-1.9115884586984322E-3</v>
      </c>
      <c r="C43">
        <f>IF(OR(Data!C44="",Data!C43=""),"",Data!C44/Data!C43-1)</f>
        <v>3.1915055740528997E-2</v>
      </c>
      <c r="D43">
        <f>IF(OR(Data!D44="",Data!D43=""),"",Data!D44/Data!D43-1)</f>
        <v>-1.8085957118633256E-2</v>
      </c>
    </row>
    <row r="44" spans="1:4" x14ac:dyDescent="0.35">
      <c r="A44" t="str">
        <f>Data!A45</f>
        <v>2022-03-03</v>
      </c>
      <c r="B44">
        <f>IF(OR(Data!B45="",Data!B44=""),"",Data!B45/Data!B44-1)</f>
        <v>-5.606311335235481E-3</v>
      </c>
      <c r="C44">
        <f>IF(OR(Data!C45="",Data!C44=""),"",Data!C45/Data!C44-1)</f>
        <v>-1.000005136792792E-2</v>
      </c>
      <c r="D44">
        <f>IF(OR(Data!D45="",Data!D44=""),"",Data!D45/Data!D44-1)</f>
        <v>2.677369083764769E-2</v>
      </c>
    </row>
    <row r="45" spans="1:4" x14ac:dyDescent="0.35">
      <c r="A45" t="str">
        <f>Data!A46</f>
        <v>2022-03-04</v>
      </c>
      <c r="B45">
        <f>IF(OR(Data!B46="",Data!B45=""),"",Data!B46/Data!B45-1)</f>
        <v>-2.8748173325746529E-2</v>
      </c>
      <c r="C45">
        <f>IF(OR(Data!C46="",Data!C45=""),"",Data!C46/Data!C45-1)</f>
        <v>2.667630031560142E-2</v>
      </c>
      <c r="D45">
        <f>IF(OR(Data!D46="",Data!D45=""),"",Data!D46/Data!D45-1)</f>
        <v>2.9572917834323365E-2</v>
      </c>
    </row>
    <row r="46" spans="1:4" x14ac:dyDescent="0.35">
      <c r="A46" t="str">
        <f>Data!A47</f>
        <v>2022-03-07</v>
      </c>
      <c r="B46">
        <f>IF(OR(Data!B47="",Data!B46=""),"",Data!B47/Data!B46-1)</f>
        <v>-1.3899296026727126E-2</v>
      </c>
      <c r="C46">
        <f>IF(OR(Data!C47="",Data!C46=""),"",Data!C47/Data!C46-1)</f>
        <v>3.2616358844383964E-3</v>
      </c>
      <c r="D46">
        <f>IF(OR(Data!D47="",Data!D46=""),"",Data!D47/Data!D46-1)</f>
        <v>1.6069993750557954E-2</v>
      </c>
    </row>
    <row r="47" spans="1:4" x14ac:dyDescent="0.35">
      <c r="A47" t="str">
        <f>Data!A48</f>
        <v>2022-03-08</v>
      </c>
      <c r="B47">
        <f>IF(OR(Data!B48="",Data!B47=""),"",Data!B48/Data!B47-1)</f>
        <v>-8.7748698954929205E-3</v>
      </c>
      <c r="C47">
        <f>IF(OR(Data!C48="",Data!C47=""),"",Data!C48/Data!C47-1)</f>
        <v>-9.4388868284397409E-3</v>
      </c>
      <c r="D47">
        <f>IF(OR(Data!D48="",Data!D47=""),"",Data!D48/Data!D47-1)</f>
        <v>2.2553635605770062E-2</v>
      </c>
    </row>
    <row r="48" spans="1:4" x14ac:dyDescent="0.35">
      <c r="A48" t="str">
        <f>Data!A49</f>
        <v>2022-03-09</v>
      </c>
      <c r="B48">
        <f>IF(OR(Data!B49="",Data!B48=""),"",Data!B49/Data!B48-1)</f>
        <v>2.1776149629088914E-2</v>
      </c>
      <c r="C48">
        <f>IF(OR(Data!C49="",Data!C48=""),"",Data!C49/Data!C48-1)</f>
        <v>-6.9467002220425789E-3</v>
      </c>
      <c r="D48">
        <f>IF(OR(Data!D49="",Data!D48=""),"",Data!D49/Data!D48-1)</f>
        <v>1.6164478303241081E-2</v>
      </c>
    </row>
    <row r="49" spans="1:4" x14ac:dyDescent="0.35">
      <c r="A49" t="str">
        <f>Data!A50</f>
        <v>2022-03-10</v>
      </c>
      <c r="B49">
        <f>IF(OR(Data!B50="",Data!B49=""),"",Data!B50/Data!B49-1)</f>
        <v>7.2995491244125521E-3</v>
      </c>
      <c r="C49">
        <f>IF(OR(Data!C50="",Data!C49=""),"",Data!C50/Data!C49-1)</f>
        <v>-4.5077656858020232E-3</v>
      </c>
      <c r="D49">
        <f>IF(OR(Data!D50="",Data!D49=""),"",Data!D50/Data!D49-1)</f>
        <v>-1.8520481675245892E-2</v>
      </c>
    </row>
    <row r="50" spans="1:4" x14ac:dyDescent="0.35">
      <c r="A50" t="str">
        <f>Data!A51</f>
        <v>2022-03-11</v>
      </c>
      <c r="B50">
        <f>IF(OR(Data!B51="",Data!B50=""),"",Data!B51/Data!B50-1)</f>
        <v>-3.4260888954252389E-2</v>
      </c>
      <c r="C50">
        <f>IF(OR(Data!C51="",Data!C50=""),"",Data!C51/Data!C50-1)</f>
        <v>6.6726639406720079E-3</v>
      </c>
      <c r="D50">
        <f>IF(OR(Data!D51="",Data!D50=""),"",Data!D51/Data!D50-1)</f>
        <v>1.3599283850062482E-2</v>
      </c>
    </row>
    <row r="51" spans="1:4" x14ac:dyDescent="0.35">
      <c r="A51" t="str">
        <f>Data!A52</f>
        <v>2022-03-14</v>
      </c>
      <c r="B51">
        <f>IF(OR(Data!B52="",Data!B51=""),"",Data!B52/Data!B51-1)</f>
        <v>6.905648188971325E-3</v>
      </c>
      <c r="C51">
        <f>IF(OR(Data!C52="",Data!C51=""),"",Data!C52/Data!C51-1)</f>
        <v>8.1627412604565741E-3</v>
      </c>
      <c r="D51">
        <f>IF(OR(Data!D52="",Data!D51=""),"",Data!D52/Data!D51-1)</f>
        <v>2.4866196634142579E-2</v>
      </c>
    </row>
    <row r="52" spans="1:4" x14ac:dyDescent="0.35">
      <c r="A52" t="str">
        <f>Data!A53</f>
        <v>2022-03-15</v>
      </c>
      <c r="B52">
        <f>IF(OR(Data!B53="",Data!B52=""),"",Data!B53/Data!B52-1)</f>
        <v>-7.2754194495805447E-3</v>
      </c>
      <c r="C52">
        <f>IF(OR(Data!C53="",Data!C52=""),"",Data!C53/Data!C52-1)</f>
        <v>-8.2835595356289815E-3</v>
      </c>
      <c r="D52">
        <f>IF(OR(Data!D53="",Data!D52=""),"",Data!D53/Data!D52-1)</f>
        <v>2.3449672070328331E-2</v>
      </c>
    </row>
    <row r="53" spans="1:4" x14ac:dyDescent="0.35">
      <c r="A53" t="str">
        <f>Data!A54</f>
        <v>2022-03-16</v>
      </c>
      <c r="B53">
        <f>IF(OR(Data!B54="",Data!B53=""),"",Data!B54/Data!B53-1)</f>
        <v>-1.3051667303503267E-2</v>
      </c>
      <c r="C53">
        <f>IF(OR(Data!C54="",Data!C53=""),"",Data!C54/Data!C53-1)</f>
        <v>-7.7304784655063408E-5</v>
      </c>
      <c r="D53">
        <f>IF(OR(Data!D54="",Data!D53=""),"",Data!D54/Data!D53-1)</f>
        <v>3.6880949369090255E-2</v>
      </c>
    </row>
    <row r="54" spans="1:4" x14ac:dyDescent="0.35">
      <c r="A54" t="str">
        <f>Data!A55</f>
        <v>2022-03-17</v>
      </c>
      <c r="B54">
        <f>IF(OR(Data!B55="",Data!B54=""),"",Data!B55/Data!B54-1)</f>
        <v>1.2713868860295463E-2</v>
      </c>
      <c r="C54">
        <f>IF(OR(Data!C55="",Data!C54=""),"",Data!C55/Data!C54-1)</f>
        <v>3.2952913273938123E-2</v>
      </c>
      <c r="D54">
        <f>IF(OR(Data!D55="",Data!D54=""),"",Data!D55/Data!D54-1)</f>
        <v>2.2038698776237764E-2</v>
      </c>
    </row>
    <row r="55" spans="1:4" x14ac:dyDescent="0.35">
      <c r="A55" t="str">
        <f>Data!A56</f>
        <v>2022-03-18</v>
      </c>
      <c r="B55">
        <f>IF(OR(Data!B56="",Data!B55=""),"",Data!B56/Data!B55-1)</f>
        <v>2.1242543106468448E-2</v>
      </c>
      <c r="C55">
        <f>IF(OR(Data!C56="",Data!C55=""),"",Data!C56/Data!C55-1)</f>
        <v>2.6546882606218736E-2</v>
      </c>
      <c r="D55">
        <f>IF(OR(Data!D56="",Data!D55=""),"",Data!D56/Data!D55-1)</f>
        <v>1.11549457173723E-2</v>
      </c>
    </row>
    <row r="56" spans="1:4" x14ac:dyDescent="0.35">
      <c r="A56" t="str">
        <f>Data!A57</f>
        <v>2022-03-21</v>
      </c>
      <c r="B56">
        <f>IF(OR(Data!B57="",Data!B56=""),"",Data!B57/Data!B56-1)</f>
        <v>1.9207019824504457E-2</v>
      </c>
      <c r="C56">
        <f>IF(OR(Data!C57="",Data!C56=""),"",Data!C57/Data!C56-1)</f>
        <v>6.8552456759289893E-3</v>
      </c>
      <c r="D56">
        <f>IF(OR(Data!D57="",Data!D56=""),"",Data!D57/Data!D56-1)</f>
        <v>3.3193786964785366E-2</v>
      </c>
    </row>
    <row r="57" spans="1:4" x14ac:dyDescent="0.35">
      <c r="A57" t="str">
        <f>Data!A58</f>
        <v>2022-03-22</v>
      </c>
      <c r="B57">
        <f>IF(OR(Data!B58="",Data!B57=""),"",Data!B58/Data!B57-1)</f>
        <v>-1.6250426632748671E-2</v>
      </c>
      <c r="C57">
        <f>IF(OR(Data!C58="",Data!C57=""),"",Data!C58/Data!C57-1)</f>
        <v>8.5817800550813672E-4</v>
      </c>
      <c r="D57">
        <f>IF(OR(Data!D58="",Data!D57=""),"",Data!D58/Data!D57-1)</f>
        <v>-2.4565585471458817E-4</v>
      </c>
    </row>
    <row r="58" spans="1:4" x14ac:dyDescent="0.35">
      <c r="A58" t="str">
        <f>Data!A59</f>
        <v>2022-03-23</v>
      </c>
      <c r="B58">
        <f>IF(OR(Data!B59="",Data!B58=""),"",Data!B59/Data!B58-1)</f>
        <v>-5.7683973459369264E-3</v>
      </c>
      <c r="C58">
        <f>IF(OR(Data!C59="",Data!C58=""),"",Data!C59/Data!C58-1)</f>
        <v>2.0903889941257248E-3</v>
      </c>
      <c r="D58">
        <f>IF(OR(Data!D59="",Data!D58=""),"",Data!D59/Data!D58-1)</f>
        <v>-2.5573772365354297E-2</v>
      </c>
    </row>
    <row r="59" spans="1:4" x14ac:dyDescent="0.35">
      <c r="A59" t="str">
        <f>Data!A60</f>
        <v>2022-03-24</v>
      </c>
      <c r="B59">
        <f>IF(OR(Data!B60="",Data!B59=""),"",Data!B60/Data!B59-1)</f>
        <v>7.050382645360509E-3</v>
      </c>
      <c r="C59">
        <f>IF(OR(Data!C60="",Data!C59=""),"",Data!C60/Data!C59-1)</f>
        <v>9.5351068552527174E-3</v>
      </c>
      <c r="D59">
        <f>IF(OR(Data!D60="",Data!D59=""),"",Data!D60/Data!D59-1)</f>
        <v>-4.3326203318315715E-3</v>
      </c>
    </row>
    <row r="60" spans="1:4" x14ac:dyDescent="0.35">
      <c r="A60" t="str">
        <f>Data!A61</f>
        <v>2022-03-25</v>
      </c>
      <c r="B60">
        <f>IF(OR(Data!B61="",Data!B60=""),"",Data!B61/Data!B60-1)</f>
        <v>2.0111004399169907E-2</v>
      </c>
      <c r="C60">
        <f>IF(OR(Data!C61="",Data!C60=""),"",Data!C61/Data!C60-1)</f>
        <v>-1.4941852080392781E-2</v>
      </c>
      <c r="D60">
        <f>IF(OR(Data!D61="",Data!D60=""),"",Data!D61/Data!D60-1)</f>
        <v>-2.1561163401680905E-2</v>
      </c>
    </row>
    <row r="61" spans="1:4" x14ac:dyDescent="0.35">
      <c r="A61" t="str">
        <f>Data!A62</f>
        <v>2022-03-28</v>
      </c>
      <c r="B61">
        <f>IF(OR(Data!B62="",Data!B61=""),"",Data!B62/Data!B61-1)</f>
        <v>-9.1420484864728202E-3</v>
      </c>
      <c r="C61">
        <f>IF(OR(Data!C62="",Data!C61=""),"",Data!C62/Data!C61-1)</f>
        <v>-3.5665169817570286E-3</v>
      </c>
      <c r="D61">
        <f>IF(OR(Data!D62="",Data!D61=""),"",Data!D62/Data!D61-1)</f>
        <v>-1.9512193286703949E-2</v>
      </c>
    </row>
    <row r="62" spans="1:4" x14ac:dyDescent="0.35">
      <c r="A62" t="str">
        <f>Data!A63</f>
        <v>2022-03-29</v>
      </c>
      <c r="B62">
        <f>IF(OR(Data!B63="",Data!B62=""),"",Data!B63/Data!B62-1)</f>
        <v>-3.3071732920845198E-3</v>
      </c>
      <c r="C62">
        <f>IF(OR(Data!C63="",Data!C62=""),"",Data!C63/Data!C62-1)</f>
        <v>-2.4437756372736819E-2</v>
      </c>
      <c r="D62">
        <f>IF(OR(Data!D63="",Data!D62=""),"",Data!D63/Data!D62-1)</f>
        <v>-3.7784196866141873E-3</v>
      </c>
    </row>
    <row r="63" spans="1:4" x14ac:dyDescent="0.35">
      <c r="A63" t="str">
        <f>Data!A64</f>
        <v>2022-03-30</v>
      </c>
      <c r="B63">
        <f>IF(OR(Data!B64="",Data!B63=""),"",Data!B64/Data!B63-1)</f>
        <v>-2.1492975716115192E-2</v>
      </c>
      <c r="C63">
        <f>IF(OR(Data!C64="",Data!C63=""),"",Data!C64/Data!C63-1)</f>
        <v>6.2959659524037814E-3</v>
      </c>
      <c r="D63">
        <f>IF(OR(Data!D64="",Data!D63=""),"",Data!D64/Data!D63-1)</f>
        <v>-2.295524847386754E-2</v>
      </c>
    </row>
    <row r="64" spans="1:4" x14ac:dyDescent="0.35">
      <c r="A64" t="str">
        <f>Data!A65</f>
        <v>2022-03-31</v>
      </c>
      <c r="B64">
        <f>IF(OR(Data!B65="",Data!B64=""),"",Data!B65/Data!B64-1)</f>
        <v>-2.3249477905394E-2</v>
      </c>
      <c r="C64">
        <f>IF(OR(Data!C65="",Data!C64=""),"",Data!C65/Data!C64-1)</f>
        <v>1.0045482845024045E-2</v>
      </c>
      <c r="D64">
        <f>IF(OR(Data!D65="",Data!D64=""),"",Data!D65/Data!D64-1)</f>
        <v>-8.6511021728872262E-3</v>
      </c>
    </row>
    <row r="65" spans="1:4" x14ac:dyDescent="0.35">
      <c r="A65" t="str">
        <f>Data!A66</f>
        <v>2022-04-01</v>
      </c>
      <c r="B65">
        <f>IF(OR(Data!B66="",Data!B65=""),"",Data!B66/Data!B65-1)</f>
        <v>1.6789655490166311E-2</v>
      </c>
      <c r="C65">
        <f>IF(OR(Data!C66="",Data!C65=""),"",Data!C66/Data!C65-1)</f>
        <v>-6.9364569049386038E-3</v>
      </c>
      <c r="D65">
        <f>IF(OR(Data!D66="",Data!D65=""),"",Data!D66/Data!D65-1)</f>
        <v>-5.4705363526682427E-2</v>
      </c>
    </row>
    <row r="66" spans="1:4" x14ac:dyDescent="0.35">
      <c r="A66" t="str">
        <f>Data!A67</f>
        <v>2022-04-04</v>
      </c>
      <c r="B66">
        <f>IF(OR(Data!B67="",Data!B66=""),"",Data!B67/Data!B66-1)</f>
        <v>2.7908104592933469E-2</v>
      </c>
      <c r="C66">
        <f>IF(OR(Data!C67="",Data!C66=""),"",Data!C67/Data!C66-1)</f>
        <v>2.418544066925965E-2</v>
      </c>
      <c r="D66">
        <f>IF(OR(Data!D67="",Data!D66=""),"",Data!D67/Data!D66-1)</f>
        <v>6.9730354368684466E-3</v>
      </c>
    </row>
    <row r="67" spans="1:4" x14ac:dyDescent="0.35">
      <c r="A67" t="str">
        <f>Data!A68</f>
        <v>2022-04-05</v>
      </c>
      <c r="B67">
        <f>IF(OR(Data!B68="",Data!B67=""),"",Data!B68/Data!B67-1)</f>
        <v>-1.0401215262264563E-3</v>
      </c>
      <c r="C67">
        <f>IF(OR(Data!C68="",Data!C67=""),"",Data!C68/Data!C67-1)</f>
        <v>-1.7936587832855455E-2</v>
      </c>
      <c r="D67">
        <f>IF(OR(Data!D68="",Data!D67=""),"",Data!D68/Data!D67-1)</f>
        <v>5.8653158058974419E-4</v>
      </c>
    </row>
    <row r="68" spans="1:4" x14ac:dyDescent="0.35">
      <c r="A68" t="str">
        <f>Data!A69</f>
        <v>2022-04-06</v>
      </c>
      <c r="B68">
        <f>IF(OR(Data!B69="",Data!B68=""),"",Data!B69/Data!B68-1)</f>
        <v>2.0680969214695644E-2</v>
      </c>
      <c r="C68">
        <f>IF(OR(Data!C69="",Data!C68=""),"",Data!C69/Data!C68-1)</f>
        <v>-2.1444609481446664E-2</v>
      </c>
      <c r="D68">
        <f>IF(OR(Data!D69="",Data!D68=""),"",Data!D69/Data!D68-1)</f>
        <v>-2.367797750191325E-2</v>
      </c>
    </row>
    <row r="69" spans="1:4" x14ac:dyDescent="0.35">
      <c r="A69" t="str">
        <f>Data!A70</f>
        <v>2022-04-07</v>
      </c>
      <c r="B69">
        <f>IF(OR(Data!B70="",Data!B69=""),"",Data!B70/Data!B69-1)</f>
        <v>7.6630770093668588E-3</v>
      </c>
      <c r="C69">
        <f>IF(OR(Data!C70="",Data!C69=""),"",Data!C70/Data!C69-1)</f>
        <v>3.6608142515772712E-3</v>
      </c>
      <c r="D69">
        <f>IF(OR(Data!D70="",Data!D69=""),"",Data!D70/Data!D69-1)</f>
        <v>2.0535616921645961E-2</v>
      </c>
    </row>
    <row r="70" spans="1:4" x14ac:dyDescent="0.35">
      <c r="A70" t="str">
        <f>Data!A71</f>
        <v>2022-04-08</v>
      </c>
      <c r="B70">
        <f>IF(OR(Data!B71="",Data!B70=""),"",Data!B71/Data!B70-1)</f>
        <v>-1.2425349336116387E-2</v>
      </c>
      <c r="C70">
        <f>IF(OR(Data!C71="",Data!C70=""),"",Data!C71/Data!C70-1)</f>
        <v>1.6122622061818692E-2</v>
      </c>
      <c r="D70">
        <f>IF(OR(Data!D71="",Data!D70=""),"",Data!D71/Data!D70-1)</f>
        <v>2.9092214950600104E-2</v>
      </c>
    </row>
    <row r="71" spans="1:4" x14ac:dyDescent="0.35">
      <c r="A71" t="str">
        <f>Data!A72</f>
        <v>2022-04-11</v>
      </c>
      <c r="B71">
        <f>IF(OR(Data!B72="",Data!B71=""),"",Data!B72/Data!B71-1)</f>
        <v>7.6570361715992963E-3</v>
      </c>
      <c r="C71">
        <f>IF(OR(Data!C72="",Data!C71=""),"",Data!C72/Data!C71-1)</f>
        <v>2.5875860690843355E-2</v>
      </c>
      <c r="D71">
        <f>IF(OR(Data!D72="",Data!D71=""),"",Data!D72/Data!D71-1)</f>
        <v>-4.6558189287475349E-2</v>
      </c>
    </row>
    <row r="72" spans="1:4" x14ac:dyDescent="0.35">
      <c r="A72" t="str">
        <f>Data!A73</f>
        <v>2022-04-12</v>
      </c>
      <c r="B72">
        <f>IF(OR(Data!B73="",Data!B72=""),"",Data!B73/Data!B72-1)</f>
        <v>3.1651587823192884E-2</v>
      </c>
      <c r="C72">
        <f>IF(OR(Data!C73="",Data!C72=""),"",Data!C73/Data!C72-1)</f>
        <v>-6.574075338784624E-3</v>
      </c>
      <c r="D72">
        <f>IF(OR(Data!D73="",Data!D72=""),"",Data!D73/Data!D72-1)</f>
        <v>-2.2084259365236059E-2</v>
      </c>
    </row>
    <row r="73" spans="1:4" x14ac:dyDescent="0.35">
      <c r="A73" t="str">
        <f>Data!A74</f>
        <v>2022-04-13</v>
      </c>
      <c r="B73">
        <f>IF(OR(Data!B74="",Data!B73=""),"",Data!B74/Data!B73-1)</f>
        <v>-3.1627053781813075E-4</v>
      </c>
      <c r="C73">
        <f>IF(OR(Data!C74="",Data!C73=""),"",Data!C74/Data!C73-1)</f>
        <v>1.6603728919541094E-2</v>
      </c>
      <c r="D73">
        <f>IF(OR(Data!D74="",Data!D73=""),"",Data!D74/Data!D73-1)</f>
        <v>-2.2272483307647195E-2</v>
      </c>
    </row>
    <row r="74" spans="1:4" x14ac:dyDescent="0.35">
      <c r="A74" t="str">
        <f>Data!A75</f>
        <v>2022-04-14</v>
      </c>
      <c r="B74">
        <f>IF(OR(Data!B75="",Data!B74=""),"",Data!B75/Data!B74-1)</f>
        <v>3.2199747355480701E-2</v>
      </c>
      <c r="C74">
        <f>IF(OR(Data!C75="",Data!C74=""),"",Data!C75/Data!C74-1)</f>
        <v>-2.8989904692022783E-4</v>
      </c>
      <c r="D74">
        <f>IF(OR(Data!D75="",Data!D74=""),"",Data!D75/Data!D74-1)</f>
        <v>-2.726837027167428E-2</v>
      </c>
    </row>
    <row r="75" spans="1:4" x14ac:dyDescent="0.35">
      <c r="A75" t="str">
        <f>Data!A76</f>
        <v>2022-04-15</v>
      </c>
      <c r="B75">
        <f>IF(OR(Data!B76="",Data!B75=""),"",Data!B76/Data!B75-1)</f>
        <v>-5.0665764677035208E-2</v>
      </c>
      <c r="C75">
        <f>IF(OR(Data!C76="",Data!C75=""),"",Data!C76/Data!C75-1)</f>
        <v>-2.2992778655830381E-3</v>
      </c>
      <c r="D75">
        <f>IF(OR(Data!D76="",Data!D75=""),"",Data!D76/Data!D75-1)</f>
        <v>2.5760272425212616E-2</v>
      </c>
    </row>
    <row r="76" spans="1:4" x14ac:dyDescent="0.35">
      <c r="A76" t="str">
        <f>Data!A77</f>
        <v>2022-04-18</v>
      </c>
      <c r="B76">
        <f>IF(OR(Data!B77="",Data!B76=""),"",Data!B77/Data!B76-1)</f>
        <v>1.6980089962421507E-2</v>
      </c>
      <c r="C76">
        <f>IF(OR(Data!C77="",Data!C76=""),"",Data!C77/Data!C76-1)</f>
        <v>1.3634675360661319E-2</v>
      </c>
      <c r="D76">
        <f>IF(OR(Data!D77="",Data!D76=""),"",Data!D77/Data!D76-1)</f>
        <v>-5.2509723027998056E-3</v>
      </c>
    </row>
    <row r="77" spans="1:4" x14ac:dyDescent="0.35">
      <c r="A77" t="str">
        <f>Data!A78</f>
        <v>2022-04-19</v>
      </c>
      <c r="B77">
        <f>IF(OR(Data!B78="",Data!B77=""),"",Data!B78/Data!B77-1)</f>
        <v>2.1440468402236235E-3</v>
      </c>
      <c r="C77">
        <f>IF(OR(Data!C78="",Data!C77=""),"",Data!C78/Data!C77-1)</f>
        <v>1.0123205900947951E-2</v>
      </c>
      <c r="D77">
        <f>IF(OR(Data!D78="",Data!D77=""),"",Data!D78/Data!D77-1)</f>
        <v>-7.3582156315842306E-3</v>
      </c>
    </row>
    <row r="78" spans="1:4" x14ac:dyDescent="0.35">
      <c r="A78" t="str">
        <f>Data!A79</f>
        <v>2022-04-20</v>
      </c>
      <c r="B78">
        <f>IF(OR(Data!B79="",Data!B78=""),"",Data!B79/Data!B78-1)</f>
        <v>-5.5653106572473021E-3</v>
      </c>
      <c r="C78">
        <f>IF(OR(Data!C79="",Data!C78=""),"",Data!C79/Data!C78-1)</f>
        <v>-2.3087748067911917E-2</v>
      </c>
      <c r="D78">
        <f>IF(OR(Data!D79="",Data!D78=""),"",Data!D79/Data!D78-1)</f>
        <v>-5.7826421451533716E-2</v>
      </c>
    </row>
    <row r="79" spans="1:4" x14ac:dyDescent="0.35">
      <c r="A79" t="str">
        <f>Data!A80</f>
        <v>2022-04-21</v>
      </c>
      <c r="B79">
        <f>IF(OR(Data!B80="",Data!B79=""),"",Data!B80/Data!B79-1)</f>
        <v>2.2379000374310731E-3</v>
      </c>
      <c r="C79">
        <f>IF(OR(Data!C80="",Data!C79=""),"",Data!C80/Data!C79-1)</f>
        <v>2.268916230752227E-2</v>
      </c>
      <c r="D79">
        <f>IF(OR(Data!D80="",Data!D79=""),"",Data!D80/Data!D79-1)</f>
        <v>1.9806201214682684E-2</v>
      </c>
    </row>
    <row r="80" spans="1:4" x14ac:dyDescent="0.35">
      <c r="A80" t="str">
        <f>Data!A81</f>
        <v>2022-04-22</v>
      </c>
      <c r="B80">
        <f>IF(OR(Data!B81="",Data!B80=""),"",Data!B81/Data!B80-1)</f>
        <v>-3.8587107056745396E-2</v>
      </c>
      <c r="C80">
        <f>IF(OR(Data!C81="",Data!C80=""),"",Data!C81/Data!C80-1)</f>
        <v>2.1210636728295373E-2</v>
      </c>
      <c r="D80">
        <f>IF(OR(Data!D81="",Data!D80=""),"",Data!D81/Data!D80-1)</f>
        <v>-3.5965367556855754E-2</v>
      </c>
    </row>
    <row r="81" spans="1:4" x14ac:dyDescent="0.35">
      <c r="A81" t="str">
        <f>Data!A82</f>
        <v>2022-04-25</v>
      </c>
      <c r="B81">
        <f>IF(OR(Data!B82="",Data!B81=""),"",Data!B82/Data!B81-1)</f>
        <v>-3.9850092806439363E-3</v>
      </c>
      <c r="C81">
        <f>IF(OR(Data!C82="",Data!C81=""),"",Data!C82/Data!C81-1)</f>
        <v>-9.0545695270054516E-3</v>
      </c>
      <c r="D81">
        <f>IF(OR(Data!D82="",Data!D81=""),"",Data!D82/Data!D81-1)</f>
        <v>2.3507531170849916E-3</v>
      </c>
    </row>
    <row r="82" spans="1:4" x14ac:dyDescent="0.35">
      <c r="A82" t="str">
        <f>Data!A83</f>
        <v>2022-04-26</v>
      </c>
      <c r="B82">
        <f>IF(OR(Data!B83="",Data!B82=""),"",Data!B83/Data!B82-1)</f>
        <v>7.5703960291577665E-3</v>
      </c>
      <c r="C82">
        <f>IF(OR(Data!C83="",Data!C82=""),"",Data!C83/Data!C82-1)</f>
        <v>6.243596512060412E-3</v>
      </c>
      <c r="D82">
        <f>IF(OR(Data!D83="",Data!D82=""),"",Data!D83/Data!D82-1)</f>
        <v>8.9107402520927081E-3</v>
      </c>
    </row>
    <row r="83" spans="1:4" x14ac:dyDescent="0.35">
      <c r="A83" t="str">
        <f>Data!A84</f>
        <v>2022-04-27</v>
      </c>
      <c r="B83">
        <f>IF(OR(Data!B84="",Data!B83=""),"",Data!B84/Data!B83-1)</f>
        <v>3.041056080759108E-2</v>
      </c>
      <c r="C83">
        <f>IF(OR(Data!C84="",Data!C83=""),"",Data!C84/Data!C83-1)</f>
        <v>7.7279122864408745E-3</v>
      </c>
      <c r="D83">
        <f>IF(OR(Data!D84="",Data!D83=""),"",Data!D84/Data!D83-1)</f>
        <v>4.223785673113345E-2</v>
      </c>
    </row>
    <row r="84" spans="1:4" x14ac:dyDescent="0.35">
      <c r="A84" t="str">
        <f>Data!A85</f>
        <v>2022-04-28</v>
      </c>
      <c r="B84">
        <f>IF(OR(Data!B85="",Data!B84=""),"",Data!B85/Data!B84-1)</f>
        <v>-9.9157096172334258E-3</v>
      </c>
      <c r="C84">
        <f>IF(OR(Data!C85="",Data!C84=""),"",Data!C85/Data!C84-1)</f>
        <v>4.2061313252037547E-3</v>
      </c>
      <c r="D84">
        <f>IF(OR(Data!D85="",Data!D84=""),"",Data!D85/Data!D84-1)</f>
        <v>-3.7974924541444133E-2</v>
      </c>
    </row>
    <row r="85" spans="1:4" x14ac:dyDescent="0.35">
      <c r="A85" t="str">
        <f>Data!A86</f>
        <v>2022-04-29</v>
      </c>
      <c r="B85">
        <f>IF(OR(Data!B86="",Data!B85=""),"",Data!B86/Data!B85-1)</f>
        <v>-1.5645290382402033E-2</v>
      </c>
      <c r="C85">
        <f>IF(OR(Data!C86="",Data!C85=""),"",Data!C86/Data!C85-1)</f>
        <v>-7.9351896128880828E-3</v>
      </c>
      <c r="D85">
        <f>IF(OR(Data!D86="",Data!D85=""),"",Data!D86/Data!D85-1)</f>
        <v>-8.6101362104260115E-2</v>
      </c>
    </row>
    <row r="86" spans="1:4" x14ac:dyDescent="0.35">
      <c r="A86" t="str">
        <f>Data!A87</f>
        <v>2022-05-02</v>
      </c>
      <c r="B86">
        <f>IF(OR(Data!B87="",Data!B86=""),"",Data!B87/Data!B86-1)</f>
        <v>-9.5895643045603718E-3</v>
      </c>
      <c r="C86">
        <f>IF(OR(Data!C87="",Data!C86=""),"",Data!C87/Data!C86-1)</f>
        <v>-9.7389949357227223E-3</v>
      </c>
      <c r="D86">
        <f>IF(OR(Data!D87="",Data!D86=""),"",Data!D87/Data!D86-1)</f>
        <v>6.0839478108296596E-3</v>
      </c>
    </row>
    <row r="87" spans="1:4" x14ac:dyDescent="0.35">
      <c r="A87" t="str">
        <f>Data!A88</f>
        <v>2022-05-03</v>
      </c>
      <c r="B87">
        <f>IF(OR(Data!B88="",Data!B87=""),"",Data!B88/Data!B87-1)</f>
        <v>1.8884552733966053E-2</v>
      </c>
      <c r="C87">
        <f>IF(OR(Data!C88="",Data!C87=""),"",Data!C88/Data!C87-1)</f>
        <v>-9.6212856998012519E-5</v>
      </c>
      <c r="D87">
        <f>IF(OR(Data!D88="",Data!D87=""),"",Data!D88/Data!D87-1)</f>
        <v>5.6081752903885063E-2</v>
      </c>
    </row>
    <row r="88" spans="1:4" x14ac:dyDescent="0.35">
      <c r="A88" t="str">
        <f>Data!A89</f>
        <v>2022-05-04</v>
      </c>
      <c r="B88">
        <f>IF(OR(Data!B89="",Data!B88=""),"",Data!B89/Data!B88-1)</f>
        <v>6.9986334784997162E-3</v>
      </c>
      <c r="C88">
        <f>IF(OR(Data!C89="",Data!C88=""),"",Data!C89/Data!C88-1)</f>
        <v>1.8039653759807983E-2</v>
      </c>
      <c r="D88">
        <f>IF(OR(Data!D89="",Data!D88=""),"",Data!D89/Data!D88-1)</f>
        <v>3.8438825067480531E-2</v>
      </c>
    </row>
    <row r="89" spans="1:4" x14ac:dyDescent="0.35">
      <c r="A89" t="str">
        <f>Data!A90</f>
        <v>2022-05-05</v>
      </c>
      <c r="B89">
        <f>IF(OR(Data!B90="",Data!B89=""),"",Data!B90/Data!B89-1)</f>
        <v>-1.0142516363267462E-2</v>
      </c>
      <c r="C89">
        <f>IF(OR(Data!C90="",Data!C89=""),"",Data!C90/Data!C89-1)</f>
        <v>8.4768939345214456E-3</v>
      </c>
      <c r="D89">
        <f>IF(OR(Data!D90="",Data!D89=""),"",Data!D90/Data!D89-1)</f>
        <v>6.8630365382378322E-3</v>
      </c>
    </row>
    <row r="90" spans="1:4" x14ac:dyDescent="0.35">
      <c r="A90" t="str">
        <f>Data!A91</f>
        <v>2022-05-06</v>
      </c>
      <c r="B90">
        <f>IF(OR(Data!B91="",Data!B90=""),"",Data!B91/Data!B90-1)</f>
        <v>1.0721665334951558E-2</v>
      </c>
      <c r="C90">
        <f>IF(OR(Data!C91="",Data!C90=""),"",Data!C91/Data!C90-1)</f>
        <v>-5.2578923842915293E-3</v>
      </c>
      <c r="D90">
        <f>IF(OR(Data!D91="",Data!D90=""),"",Data!D91/Data!D90-1)</f>
        <v>-1.409891059707491E-2</v>
      </c>
    </row>
    <row r="91" spans="1:4" x14ac:dyDescent="0.35">
      <c r="A91" t="str">
        <f>Data!A92</f>
        <v>2022-05-09</v>
      </c>
      <c r="B91">
        <f>IF(OR(Data!B92="",Data!B91=""),"",Data!B92/Data!B91-1)</f>
        <v>2.3451535989176264E-3</v>
      </c>
      <c r="C91">
        <f>IF(OR(Data!C92="",Data!C91=""),"",Data!C92/Data!C91-1)</f>
        <v>1.1933904699358289E-2</v>
      </c>
      <c r="D91">
        <f>IF(OR(Data!D92="",Data!D91=""),"",Data!D92/Data!D91-1)</f>
        <v>2.5073069910338974E-2</v>
      </c>
    </row>
    <row r="92" spans="1:4" x14ac:dyDescent="0.35">
      <c r="A92" t="str">
        <f>Data!A93</f>
        <v>2022-05-10</v>
      </c>
      <c r="B92">
        <f>IF(OR(Data!B93="",Data!B92=""),"",Data!B93/Data!B92-1)</f>
        <v>1.9969371635651267E-2</v>
      </c>
      <c r="C92">
        <f>IF(OR(Data!C93="",Data!C92=""),"",Data!C93/Data!C92-1)</f>
        <v>-4.1552647512366869E-2</v>
      </c>
      <c r="D92">
        <f>IF(OR(Data!D93="",Data!D92=""),"",Data!D93/Data!D92-1)</f>
        <v>-2.8249610832796646E-2</v>
      </c>
    </row>
    <row r="93" spans="1:4" x14ac:dyDescent="0.35">
      <c r="A93" t="str">
        <f>Data!A94</f>
        <v>2022-05-11</v>
      </c>
      <c r="B93">
        <f>IF(OR(Data!B94="",Data!B93=""),"",Data!B94/Data!B93-1)</f>
        <v>-1.3548989969013325E-2</v>
      </c>
      <c r="C93">
        <f>IF(OR(Data!C94="",Data!C93=""),"",Data!C94/Data!C93-1)</f>
        <v>1.7673202674490129E-2</v>
      </c>
      <c r="D93">
        <f>IF(OR(Data!D94="",Data!D93=""),"",Data!D94/Data!D93-1)</f>
        <v>1.4951276672687364E-2</v>
      </c>
    </row>
    <row r="94" spans="1:4" x14ac:dyDescent="0.35">
      <c r="A94" t="str">
        <f>Data!A95</f>
        <v>2022-05-12</v>
      </c>
      <c r="B94">
        <f>IF(OR(Data!B95="",Data!B94=""),"",Data!B95/Data!B94-1)</f>
        <v>-6.1339388045903442E-3</v>
      </c>
      <c r="C94">
        <f>IF(OR(Data!C95="",Data!C94=""),"",Data!C95/Data!C94-1)</f>
        <v>-2.547781853345088E-2</v>
      </c>
      <c r="D94">
        <f>IF(OR(Data!D95="",Data!D94=""),"",Data!D95/Data!D94-1)</f>
        <v>1.5838097959148589E-2</v>
      </c>
    </row>
    <row r="95" spans="1:4" x14ac:dyDescent="0.35">
      <c r="A95" t="str">
        <f>Data!A96</f>
        <v>2022-05-13</v>
      </c>
      <c r="B95">
        <f>IF(OR(Data!B96="",Data!B95=""),"",Data!B96/Data!B95-1)</f>
        <v>-7.4146635347789314E-3</v>
      </c>
      <c r="C95">
        <f>IF(OR(Data!C96="",Data!C95=""),"",Data!C96/Data!C95-1)</f>
        <v>-5.1358142041980637E-3</v>
      </c>
      <c r="D95">
        <f>IF(OR(Data!D96="",Data!D95=""),"",Data!D96/Data!D95-1)</f>
        <v>3.2885827888203822E-2</v>
      </c>
    </row>
    <row r="96" spans="1:4" x14ac:dyDescent="0.35">
      <c r="A96" t="str">
        <f>Data!A97</f>
        <v>2022-05-16</v>
      </c>
      <c r="B96">
        <f>IF(OR(Data!B97="",Data!B96=""),"",Data!B97/Data!B96-1)</f>
        <v>-2.845778013561695E-2</v>
      </c>
      <c r="C96">
        <f>IF(OR(Data!C97="",Data!C96=""),"",Data!C97/Data!C96-1)</f>
        <v>-1.6372517148526611E-2</v>
      </c>
      <c r="D96">
        <f>IF(OR(Data!D97="",Data!D96=""),"",Data!D97/Data!D96-1)</f>
        <v>8.6910904321815474E-2</v>
      </c>
    </row>
    <row r="97" spans="1:4" x14ac:dyDescent="0.35">
      <c r="A97" t="str">
        <f>Data!A98</f>
        <v>2022-05-17</v>
      </c>
      <c r="B97">
        <f>IF(OR(Data!B98="",Data!B97=""),"",Data!B98/Data!B97-1)</f>
        <v>6.342802230949518E-3</v>
      </c>
      <c r="C97">
        <f>IF(OR(Data!C98="",Data!C97=""),"",Data!C98/Data!C97-1)</f>
        <v>-1.8950811166503101E-2</v>
      </c>
      <c r="D97">
        <f>IF(OR(Data!D98="",Data!D97=""),"",Data!D98/Data!D97-1)</f>
        <v>1.2398816539339386E-2</v>
      </c>
    </row>
    <row r="98" spans="1:4" x14ac:dyDescent="0.35">
      <c r="A98" t="str">
        <f>Data!A99</f>
        <v>2022-05-18</v>
      </c>
      <c r="B98">
        <f>IF(OR(Data!B99="",Data!B98=""),"",Data!B99/Data!B98-1)</f>
        <v>5.6369999502410284E-3</v>
      </c>
      <c r="C98">
        <f>IF(OR(Data!C99="",Data!C98=""),"",Data!C99/Data!C98-1)</f>
        <v>1.7857671119160923E-2</v>
      </c>
      <c r="D98">
        <f>IF(OR(Data!D99="",Data!D98=""),"",Data!D99/Data!D98-1)</f>
        <v>-1.4611259444459845E-2</v>
      </c>
    </row>
    <row r="99" spans="1:4" x14ac:dyDescent="0.35">
      <c r="A99" t="str">
        <f>Data!A100</f>
        <v>2022-05-19</v>
      </c>
      <c r="B99">
        <f>IF(OR(Data!B100="",Data!B99=""),"",Data!B100/Data!B99-1)</f>
        <v>5.018708236335101E-4</v>
      </c>
      <c r="C99">
        <f>IF(OR(Data!C100="",Data!C99=""),"",Data!C100/Data!C99-1)</f>
        <v>-6.7054024012518365E-3</v>
      </c>
      <c r="D99">
        <f>IF(OR(Data!D100="",Data!D99=""),"",Data!D100/Data!D99-1)</f>
        <v>-2.1716974163088487E-4</v>
      </c>
    </row>
    <row r="100" spans="1:4" x14ac:dyDescent="0.35">
      <c r="A100" t="str">
        <f>Data!A101</f>
        <v>2022-05-20</v>
      </c>
      <c r="B100">
        <f>IF(OR(Data!B101="",Data!B100=""),"",Data!B101/Data!B100-1)</f>
        <v>-4.2826022961436339E-3</v>
      </c>
      <c r="C100">
        <f>IF(OR(Data!C101="",Data!C100=""),"",Data!C101/Data!C100-1)</f>
        <v>5.5002570687947561E-3</v>
      </c>
      <c r="D100">
        <f>IF(OR(Data!D101="",Data!D100=""),"",Data!D101/Data!D100-1)</f>
        <v>-5.1166744174246603E-2</v>
      </c>
    </row>
    <row r="101" spans="1:4" x14ac:dyDescent="0.35">
      <c r="A101" t="str">
        <f>Data!A102</f>
        <v>2022-05-23</v>
      </c>
      <c r="B101">
        <f>IF(OR(Data!B102="",Data!B101=""),"",Data!B102/Data!B101-1)</f>
        <v>-2.7520863562882858E-2</v>
      </c>
      <c r="C101">
        <f>IF(OR(Data!C102="",Data!C101=""),"",Data!C102/Data!C101-1)</f>
        <v>-4.163053935599681E-4</v>
      </c>
      <c r="D101">
        <f>IF(OR(Data!D102="",Data!D101=""),"",Data!D102/Data!D101-1)</f>
        <v>-2.0087108514404206E-2</v>
      </c>
    </row>
    <row r="102" spans="1:4" x14ac:dyDescent="0.35">
      <c r="A102" t="str">
        <f>Data!A103</f>
        <v>2022-05-24</v>
      </c>
      <c r="B102">
        <f>IF(OR(Data!B103="",Data!B102=""),"",Data!B103/Data!B102-1)</f>
        <v>-7.9808741142665118E-3</v>
      </c>
      <c r="C102">
        <f>IF(OR(Data!C103="",Data!C102=""),"",Data!C103/Data!C102-1)</f>
        <v>7.4710707663387943E-3</v>
      </c>
      <c r="D102">
        <f>IF(OR(Data!D103="",Data!D102=""),"",Data!D103/Data!D102-1)</f>
        <v>-1.1659970666286545E-2</v>
      </c>
    </row>
    <row r="103" spans="1:4" x14ac:dyDescent="0.35">
      <c r="A103" t="str">
        <f>Data!A104</f>
        <v>2022-05-25</v>
      </c>
      <c r="B103">
        <f>IF(OR(Data!B104="",Data!B103=""),"",Data!B104/Data!B103-1)</f>
        <v>-6.4343485605152795E-3</v>
      </c>
      <c r="C103">
        <f>IF(OR(Data!C104="",Data!C103=""),"",Data!C104/Data!C103-1)</f>
        <v>1.4406740679848706E-3</v>
      </c>
      <c r="D103">
        <f>IF(OR(Data!D104="",Data!D103=""),"",Data!D104/Data!D103-1)</f>
        <v>-1.505801566219811E-2</v>
      </c>
    </row>
    <row r="104" spans="1:4" x14ac:dyDescent="0.35">
      <c r="A104" t="str">
        <f>Data!A105</f>
        <v>2022-05-26</v>
      </c>
      <c r="B104">
        <f>IF(OR(Data!B105="",Data!B104=""),"",Data!B105/Data!B104-1)</f>
        <v>-1.5523195345262031E-2</v>
      </c>
      <c r="C104">
        <f>IF(OR(Data!C105="",Data!C104=""),"",Data!C105/Data!C104-1)</f>
        <v>-1.8778961203690714E-2</v>
      </c>
      <c r="D104">
        <f>IF(OR(Data!D105="",Data!D104=""),"",Data!D105/Data!D104-1)</f>
        <v>5.133912128143292E-3</v>
      </c>
    </row>
    <row r="105" spans="1:4" x14ac:dyDescent="0.35">
      <c r="A105" t="str">
        <f>Data!A106</f>
        <v>2022-05-27</v>
      </c>
      <c r="B105">
        <f>IF(OR(Data!B106="",Data!B105=""),"",Data!B106/Data!B105-1)</f>
        <v>-2.8222425800209505E-3</v>
      </c>
      <c r="C105">
        <f>IF(OR(Data!C106="",Data!C105=""),"",Data!C106/Data!C105-1)</f>
        <v>1.5347896250765825E-2</v>
      </c>
      <c r="D105">
        <f>IF(OR(Data!D106="",Data!D105=""),"",Data!D106/Data!D105-1)</f>
        <v>-2.3834348786848758E-2</v>
      </c>
    </row>
    <row r="106" spans="1:4" x14ac:dyDescent="0.35">
      <c r="A106" t="str">
        <f>Data!A107</f>
        <v>2022-05-30</v>
      </c>
      <c r="B106">
        <f>IF(OR(Data!B107="",Data!B106=""),"",Data!B107/Data!B106-1)</f>
        <v>8.517082550474786E-3</v>
      </c>
      <c r="C106">
        <f>IF(OR(Data!C107="",Data!C106=""),"",Data!C107/Data!C106-1)</f>
        <v>-7.0933723278686633E-3</v>
      </c>
      <c r="D106">
        <f>IF(OR(Data!D107="",Data!D106=""),"",Data!D107/Data!D106-1)</f>
        <v>3.4772019193810788E-2</v>
      </c>
    </row>
    <row r="107" spans="1:4" x14ac:dyDescent="0.35">
      <c r="A107" t="str">
        <f>Data!A108</f>
        <v>2022-05-31</v>
      </c>
      <c r="B107">
        <f>IF(OR(Data!B108="",Data!B107=""),"",Data!B108/Data!B107-1)</f>
        <v>3.8859922838429206E-2</v>
      </c>
      <c r="C107">
        <f>IF(OR(Data!C108="",Data!C107=""),"",Data!C108/Data!C107-1)</f>
        <v>-2.2797137856726102E-2</v>
      </c>
      <c r="D107">
        <f>IF(OR(Data!D108="",Data!D107=""),"",Data!D108/Data!D107-1)</f>
        <v>5.5626413191545154E-4</v>
      </c>
    </row>
    <row r="108" spans="1:4" x14ac:dyDescent="0.35">
      <c r="A108" t="str">
        <f>Data!A109</f>
        <v>2022-06-01</v>
      </c>
      <c r="B108">
        <f>IF(OR(Data!B109="",Data!B108=""),"",Data!B109/Data!B108-1)</f>
        <v>3.8996900400165568E-3</v>
      </c>
      <c r="C108">
        <f>IF(OR(Data!C109="",Data!C108=""),"",Data!C109/Data!C108-1)</f>
        <v>-6.1155093557119233E-3</v>
      </c>
      <c r="D108">
        <f>IF(OR(Data!D109="",Data!D108=""),"",Data!D109/Data!D108-1)</f>
        <v>2.7136435613206444E-4</v>
      </c>
    </row>
    <row r="109" spans="1:4" x14ac:dyDescent="0.35">
      <c r="A109" t="str">
        <f>Data!A110</f>
        <v>2022-06-02</v>
      </c>
      <c r="B109">
        <f>IF(OR(Data!B110="",Data!B109=""),"",Data!B110/Data!B109-1)</f>
        <v>5.565731915254446E-3</v>
      </c>
      <c r="C109">
        <f>IF(OR(Data!C110="",Data!C109=""),"",Data!C110/Data!C109-1)</f>
        <v>2.3060633456428725E-2</v>
      </c>
      <c r="D109">
        <f>IF(OR(Data!D110="",Data!D109=""),"",Data!D110/Data!D109-1)</f>
        <v>-9.24394691091035E-3</v>
      </c>
    </row>
    <row r="110" spans="1:4" x14ac:dyDescent="0.35">
      <c r="A110" t="str">
        <f>Data!A111</f>
        <v>2022-06-03</v>
      </c>
      <c r="B110">
        <f>IF(OR(Data!B111="",Data!B110=""),"",Data!B111/Data!B110-1)</f>
        <v>-1.0884483076173401E-3</v>
      </c>
      <c r="C110">
        <f>IF(OR(Data!C111="",Data!C110=""),"",Data!C111/Data!C110-1)</f>
        <v>1.3126449466165147E-2</v>
      </c>
      <c r="D110">
        <f>IF(OR(Data!D111="",Data!D110=""),"",Data!D111/Data!D110-1)</f>
        <v>5.2191841026809627E-3</v>
      </c>
    </row>
    <row r="111" spans="1:4" x14ac:dyDescent="0.35">
      <c r="A111" t="str">
        <f>Data!A112</f>
        <v>2022-06-06</v>
      </c>
      <c r="B111">
        <f>IF(OR(Data!B112="",Data!B111=""),"",Data!B112/Data!B111-1)</f>
        <v>-3.7262876658391231E-2</v>
      </c>
      <c r="C111">
        <f>IF(OR(Data!C112="",Data!C111=""),"",Data!C112/Data!C111-1)</f>
        <v>-4.9300467931633341E-3</v>
      </c>
      <c r="D111">
        <f>IF(OR(Data!D112="",Data!D111=""),"",Data!D112/Data!D111-1)</f>
        <v>2.5625765124164257E-2</v>
      </c>
    </row>
    <row r="112" spans="1:4" x14ac:dyDescent="0.35">
      <c r="A112" t="str">
        <f>Data!A113</f>
        <v>2022-06-07</v>
      </c>
      <c r="B112">
        <f>IF(OR(Data!B113="",Data!B112=""),"",Data!B113/Data!B112-1)</f>
        <v>-1.2973790472059488E-4</v>
      </c>
      <c r="C112">
        <f>IF(OR(Data!C113="",Data!C112=""),"",Data!C113/Data!C112-1)</f>
        <v>-4.9396156940956226E-3</v>
      </c>
      <c r="D112">
        <f>IF(OR(Data!D113="",Data!D112=""),"",Data!D113/Data!D112-1)</f>
        <v>-2.5142617374768972E-2</v>
      </c>
    </row>
    <row r="113" spans="1:4" x14ac:dyDescent="0.35">
      <c r="A113" t="str">
        <f>Data!A114</f>
        <v>2022-06-08</v>
      </c>
      <c r="B113">
        <f>IF(OR(Data!B114="",Data!B113=""),"",Data!B114/Data!B113-1)</f>
        <v>1.6052514832203268E-3</v>
      </c>
      <c r="C113">
        <f>IF(OR(Data!C114="",Data!C113=""),"",Data!C114/Data!C113-1)</f>
        <v>-4.5263704827372964E-3</v>
      </c>
      <c r="D113">
        <f>IF(OR(Data!D114="",Data!D113=""),"",Data!D114/Data!D113-1)</f>
        <v>-1.9010189868375216E-2</v>
      </c>
    </row>
    <row r="114" spans="1:4" x14ac:dyDescent="0.35">
      <c r="A114" t="str">
        <f>Data!A115</f>
        <v>2022-06-09</v>
      </c>
      <c r="B114">
        <f>IF(OR(Data!B115="",Data!B114=""),"",Data!B115/Data!B114-1)</f>
        <v>5.0919288652442107E-2</v>
      </c>
      <c r="C114">
        <f>IF(OR(Data!C115="",Data!C114=""),"",Data!C115/Data!C114-1)</f>
        <v>3.193785092789847E-2</v>
      </c>
      <c r="D114">
        <f>IF(OR(Data!D115="",Data!D114=""),"",Data!D115/Data!D114-1)</f>
        <v>-8.5254177874802828E-3</v>
      </c>
    </row>
    <row r="115" spans="1:4" x14ac:dyDescent="0.35">
      <c r="A115" t="str">
        <f>Data!A116</f>
        <v>2022-06-10</v>
      </c>
      <c r="B115">
        <f>IF(OR(Data!B116="",Data!B115=""),"",Data!B116/Data!B115-1)</f>
        <v>-3.4421670155402317E-3</v>
      </c>
      <c r="C115">
        <f>IF(OR(Data!C116="",Data!C115=""),"",Data!C116/Data!C115-1)</f>
        <v>6.034652158696252E-3</v>
      </c>
      <c r="D115">
        <f>IF(OR(Data!D116="",Data!D115=""),"",Data!D116/Data!D115-1)</f>
        <v>-3.904334529732334E-2</v>
      </c>
    </row>
    <row r="116" spans="1:4" x14ac:dyDescent="0.35">
      <c r="A116" t="str">
        <f>Data!A117</f>
        <v>2022-06-13</v>
      </c>
      <c r="B116">
        <f>IF(OR(Data!B117="",Data!B116=""),"",Data!B117/Data!B116-1)</f>
        <v>6.4522057307649927E-3</v>
      </c>
      <c r="C116">
        <f>IF(OR(Data!C117="",Data!C116=""),"",Data!C117/Data!C116-1)</f>
        <v>6.761262703372406E-3</v>
      </c>
      <c r="D116">
        <f>IF(OR(Data!D117="",Data!D116=""),"",Data!D117/Data!D116-1)</f>
        <v>-2.3741217253620217E-2</v>
      </c>
    </row>
    <row r="117" spans="1:4" x14ac:dyDescent="0.35">
      <c r="A117" t="str">
        <f>Data!A118</f>
        <v>2022-06-14</v>
      </c>
      <c r="B117">
        <f>IF(OR(Data!B118="",Data!B117=""),"",Data!B118/Data!B117-1)</f>
        <v>-2.9379610316349059E-4</v>
      </c>
      <c r="C117">
        <f>IF(OR(Data!C118="",Data!C117=""),"",Data!C118/Data!C117-1)</f>
        <v>1.5866064038260852E-2</v>
      </c>
      <c r="D117">
        <f>IF(OR(Data!D118="",Data!D117=""),"",Data!D118/Data!D117-1)</f>
        <v>-1.3642907790563541E-2</v>
      </c>
    </row>
    <row r="118" spans="1:4" x14ac:dyDescent="0.35">
      <c r="A118" t="str">
        <f>Data!A119</f>
        <v>2022-06-15</v>
      </c>
      <c r="B118">
        <f>IF(OR(Data!B119="",Data!B118=""),"",Data!B119/Data!B118-1)</f>
        <v>-2.2712078334306995E-2</v>
      </c>
      <c r="C118">
        <f>IF(OR(Data!C119="",Data!C118=""),"",Data!C119/Data!C118-1)</f>
        <v>3.8767377091142308E-3</v>
      </c>
      <c r="D118">
        <f>IF(OR(Data!D119="",Data!D118=""),"",Data!D119/Data!D118-1)</f>
        <v>2.7143271417451542E-2</v>
      </c>
    </row>
    <row r="119" spans="1:4" x14ac:dyDescent="0.35">
      <c r="A119" t="str">
        <f>Data!A120</f>
        <v>2022-06-16</v>
      </c>
      <c r="B119">
        <f>IF(OR(Data!B120="",Data!B119=""),"",Data!B120/Data!B119-1)</f>
        <v>2.3528636551513493E-2</v>
      </c>
      <c r="C119">
        <f>IF(OR(Data!C120="",Data!C119=""),"",Data!C120/Data!C119-1)</f>
        <v>-3.5915949585962892E-3</v>
      </c>
      <c r="D119">
        <f>IF(OR(Data!D120="",Data!D119=""),"",Data!D120/Data!D119-1)</f>
        <v>8.4624368846344389E-3</v>
      </c>
    </row>
    <row r="120" spans="1:4" x14ac:dyDescent="0.35">
      <c r="A120" t="str">
        <f>Data!A121</f>
        <v>2022-06-17</v>
      </c>
      <c r="B120">
        <f>IF(OR(Data!B121="",Data!B120=""),"",Data!B121/Data!B120-1)</f>
        <v>1.5558500053843849E-2</v>
      </c>
      <c r="C120">
        <f>IF(OR(Data!C121="",Data!C120=""),"",Data!C121/Data!C120-1)</f>
        <v>-2.6544018501163391E-3</v>
      </c>
      <c r="D120">
        <f>IF(OR(Data!D121="",Data!D120=""),"",Data!D121/Data!D120-1)</f>
        <v>6.3781706055039411E-3</v>
      </c>
    </row>
    <row r="121" spans="1:4" x14ac:dyDescent="0.35">
      <c r="A121" t="str">
        <f>Data!A122</f>
        <v>2022-06-20</v>
      </c>
      <c r="B121">
        <f>IF(OR(Data!B122="",Data!B121=""),"",Data!B122/Data!B121-1)</f>
        <v>1.6352856563272233E-2</v>
      </c>
      <c r="C121">
        <f>IF(OR(Data!C122="",Data!C121=""),"",Data!C122/Data!C121-1)</f>
        <v>-7.861492732084141E-4</v>
      </c>
      <c r="D121">
        <f>IF(OR(Data!D122="",Data!D121=""),"",Data!D122/Data!D121-1)</f>
        <v>2.6419807193094336E-2</v>
      </c>
    </row>
    <row r="122" spans="1:4" x14ac:dyDescent="0.35">
      <c r="A122" t="str">
        <f>Data!A123</f>
        <v>2022-06-21</v>
      </c>
      <c r="B122">
        <f>IF(OR(Data!B123="",Data!B122=""),"",Data!B123/Data!B122-1)</f>
        <v>-1.7629768066373064E-2</v>
      </c>
      <c r="C122">
        <f>IF(OR(Data!C123="",Data!C122=""),"",Data!C123/Data!C122-1)</f>
        <v>-2.7038057341099986E-4</v>
      </c>
      <c r="D122">
        <f>IF(OR(Data!D123="",Data!D122=""),"",Data!D123/Data!D122-1)</f>
        <v>-3.5646920038591157E-3</v>
      </c>
    </row>
    <row r="123" spans="1:4" x14ac:dyDescent="0.35">
      <c r="A123" t="str">
        <f>Data!A124</f>
        <v>2022-06-22</v>
      </c>
      <c r="B123">
        <f>IF(OR(Data!B124="",Data!B123=""),"",Data!B124/Data!B123-1)</f>
        <v>2.8864379896058612E-2</v>
      </c>
      <c r="C123">
        <f>IF(OR(Data!C124="",Data!C123=""),"",Data!C124/Data!C123-1)</f>
        <v>1.1264935196005244E-2</v>
      </c>
      <c r="D123">
        <f>IF(OR(Data!D124="",Data!D123=""),"",Data!D124/Data!D123-1)</f>
        <v>1.2339487409514183E-2</v>
      </c>
    </row>
    <row r="124" spans="1:4" x14ac:dyDescent="0.35">
      <c r="A124" t="str">
        <f>Data!A125</f>
        <v>2022-06-23</v>
      </c>
      <c r="B124">
        <f>IF(OR(Data!B125="",Data!B124=""),"",Data!B125/Data!B124-1)</f>
        <v>-2.7259100017727578E-2</v>
      </c>
      <c r="C124">
        <f>IF(OR(Data!C125="",Data!C124=""),"",Data!C125/Data!C124-1)</f>
        <v>1.0669606088011818E-3</v>
      </c>
      <c r="D124">
        <f>IF(OR(Data!D125="",Data!D124=""),"",Data!D125/Data!D124-1)</f>
        <v>-2.5434965724545622E-3</v>
      </c>
    </row>
    <row r="125" spans="1:4" x14ac:dyDescent="0.35">
      <c r="A125" t="str">
        <f>Data!A126</f>
        <v>2022-06-24</v>
      </c>
      <c r="B125">
        <f>IF(OR(Data!B126="",Data!B125=""),"",Data!B126/Data!B125-1)</f>
        <v>1.2211537463363564E-2</v>
      </c>
      <c r="C125">
        <f>IF(OR(Data!C126="",Data!C125=""),"",Data!C126/Data!C125-1)</f>
        <v>1.1340966040390477E-2</v>
      </c>
      <c r="D125">
        <f>IF(OR(Data!D126="",Data!D125=""),"",Data!D126/Data!D125-1)</f>
        <v>8.5473559054352055E-3</v>
      </c>
    </row>
    <row r="126" spans="1:4" x14ac:dyDescent="0.35">
      <c r="A126" t="str">
        <f>Data!A127</f>
        <v>2022-06-27</v>
      </c>
      <c r="B126">
        <f>IF(OR(Data!B127="",Data!B126=""),"",Data!B127/Data!B126-1)</f>
        <v>4.5200637225743412E-2</v>
      </c>
      <c r="C126">
        <f>IF(OR(Data!C127="",Data!C126=""),"",Data!C127/Data!C126-1)</f>
        <v>-9.2262212975091629E-4</v>
      </c>
      <c r="D126">
        <f>IF(OR(Data!D127="",Data!D126=""),"",Data!D127/Data!D126-1)</f>
        <v>-1.6790055196843845E-2</v>
      </c>
    </row>
    <row r="127" spans="1:4" x14ac:dyDescent="0.35">
      <c r="A127" t="str">
        <f>Data!A128</f>
        <v>2022-06-28</v>
      </c>
      <c r="B127">
        <f>IF(OR(Data!B128="",Data!B127=""),"",Data!B128/Data!B127-1)</f>
        <v>-1.9223305204858154E-2</v>
      </c>
      <c r="C127">
        <f>IF(OR(Data!C128="",Data!C127=""),"",Data!C128/Data!C127-1)</f>
        <v>1.4678028465842097E-3</v>
      </c>
      <c r="D127">
        <f>IF(OR(Data!D128="",Data!D127=""),"",Data!D128/Data!D127-1)</f>
        <v>-7.0040846437695925E-2</v>
      </c>
    </row>
    <row r="128" spans="1:4" x14ac:dyDescent="0.35">
      <c r="A128" t="str">
        <f>Data!A129</f>
        <v>2022-06-29</v>
      </c>
      <c r="B128">
        <f>IF(OR(Data!B129="",Data!B128=""),"",Data!B129/Data!B128-1)</f>
        <v>-1.0866085363521849E-2</v>
      </c>
      <c r="C128">
        <f>IF(OR(Data!C129="",Data!C128=""),"",Data!C129/Data!C128-1)</f>
        <v>-2.9248825901295517E-2</v>
      </c>
      <c r="D128">
        <f>IF(OR(Data!D129="",Data!D128=""),"",Data!D129/Data!D128-1)</f>
        <v>-3.4724197323222628E-3</v>
      </c>
    </row>
    <row r="129" spans="1:4" x14ac:dyDescent="0.35">
      <c r="A129" t="str">
        <f>Data!A130</f>
        <v>2022-06-30</v>
      </c>
      <c r="B129">
        <f>IF(OR(Data!B130="",Data!B129=""),"",Data!B130/Data!B129-1)</f>
        <v>2.3948852174557889E-3</v>
      </c>
      <c r="C129">
        <f>IF(OR(Data!C130="",Data!C129=""),"",Data!C130/Data!C129-1)</f>
        <v>1.4131108451581831E-2</v>
      </c>
      <c r="D129">
        <f>IF(OR(Data!D130="",Data!D129=""),"",Data!D130/Data!D129-1)</f>
        <v>4.4180785672742084E-2</v>
      </c>
    </row>
    <row r="130" spans="1:4" x14ac:dyDescent="0.35">
      <c r="A130" t="str">
        <f>Data!A131</f>
        <v>2022-07-01</v>
      </c>
      <c r="B130">
        <f>IF(OR(Data!B131="",Data!B130=""),"",Data!B131/Data!B130-1)</f>
        <v>-9.622801431479977E-3</v>
      </c>
      <c r="C130">
        <f>IF(OR(Data!C131="",Data!C130=""),"",Data!C131/Data!C130-1)</f>
        <v>5.4996921814078892E-3</v>
      </c>
      <c r="D130">
        <f>IF(OR(Data!D131="",Data!D130=""),"",Data!D131/Data!D130-1)</f>
        <v>2.8741476915954633E-2</v>
      </c>
    </row>
    <row r="131" spans="1:4" x14ac:dyDescent="0.35">
      <c r="A131" t="str">
        <f>Data!A132</f>
        <v>2022-07-04</v>
      </c>
      <c r="B131">
        <f>IF(OR(Data!B132="",Data!B131=""),"",Data!B132/Data!B131-1)</f>
        <v>-3.0148489688813562E-2</v>
      </c>
      <c r="C131">
        <f>IF(OR(Data!C132="",Data!C131=""),"",Data!C132/Data!C131-1)</f>
        <v>1.5374963585318202E-2</v>
      </c>
      <c r="D131">
        <f>IF(OR(Data!D132="",Data!D131=""),"",Data!D132/Data!D131-1)</f>
        <v>2.9951528933038096E-2</v>
      </c>
    </row>
    <row r="132" spans="1:4" x14ac:dyDescent="0.35">
      <c r="A132" t="str">
        <f>Data!A133</f>
        <v>2022-07-05</v>
      </c>
      <c r="B132">
        <f>IF(OR(Data!B133="",Data!B132=""),"",Data!B133/Data!B132-1)</f>
        <v>1.7718555109025313E-3</v>
      </c>
      <c r="C132">
        <f>IF(OR(Data!C133="",Data!C132=""),"",Data!C133/Data!C132-1)</f>
        <v>-4.2238551833666982E-2</v>
      </c>
      <c r="D132">
        <f>IF(OR(Data!D133="",Data!D132=""),"",Data!D133/Data!D132-1)</f>
        <v>3.8351057896106822E-2</v>
      </c>
    </row>
    <row r="133" spans="1:4" x14ac:dyDescent="0.35">
      <c r="A133" t="str">
        <f>Data!A134</f>
        <v>2022-07-06</v>
      </c>
      <c r="B133">
        <f>IF(OR(Data!B134="",Data!B133=""),"",Data!B134/Data!B133-1)</f>
        <v>-2.0630424574743622E-2</v>
      </c>
      <c r="C133">
        <f>IF(OR(Data!C134="",Data!C133=""),"",Data!C134/Data!C133-1)</f>
        <v>3.2118383967083997E-2</v>
      </c>
      <c r="D133">
        <f>IF(OR(Data!D134="",Data!D133=""),"",Data!D134/Data!D133-1)</f>
        <v>3.214933190089253E-3</v>
      </c>
    </row>
    <row r="134" spans="1:4" x14ac:dyDescent="0.35">
      <c r="A134" t="str">
        <f>Data!A135</f>
        <v>2022-07-07</v>
      </c>
      <c r="B134">
        <f>IF(OR(Data!B135="",Data!B134=""),"",Data!B135/Data!B134-1)</f>
        <v>9.9209913615159184E-3</v>
      </c>
      <c r="C134">
        <f>IF(OR(Data!C135="",Data!C134=""),"",Data!C135/Data!C134-1)</f>
        <v>-1.8049304683960266E-3</v>
      </c>
      <c r="D134">
        <f>IF(OR(Data!D135="",Data!D134=""),"",Data!D135/Data!D134-1)</f>
        <v>6.4904699946277677E-3</v>
      </c>
    </row>
    <row r="135" spans="1:4" x14ac:dyDescent="0.35">
      <c r="A135" t="str">
        <f>Data!A136</f>
        <v>2022-07-08</v>
      </c>
      <c r="B135">
        <f>IF(OR(Data!B136="",Data!B135=""),"",Data!B136/Data!B135-1)</f>
        <v>-1.7827019131090416E-2</v>
      </c>
      <c r="C135">
        <f>IF(OR(Data!C136="",Data!C135=""),"",Data!C136/Data!C135-1)</f>
        <v>1.7053949481065089E-2</v>
      </c>
      <c r="D135">
        <f>IF(OR(Data!D136="",Data!D135=""),"",Data!D136/Data!D135-1)</f>
        <v>-1.7818589355395598E-2</v>
      </c>
    </row>
    <row r="136" spans="1:4" x14ac:dyDescent="0.35">
      <c r="A136" t="str">
        <f>Data!A137</f>
        <v>2022-07-11</v>
      </c>
      <c r="B136">
        <f>IF(OR(Data!B137="",Data!B136=""),"",Data!B137/Data!B136-1)</f>
        <v>3.1896966345905886E-2</v>
      </c>
      <c r="C136">
        <f>IF(OR(Data!C137="",Data!C136=""),"",Data!C137/Data!C136-1)</f>
        <v>-1.51942410040381E-2</v>
      </c>
      <c r="D136">
        <f>IF(OR(Data!D137="",Data!D136=""),"",Data!D137/Data!D136-1)</f>
        <v>-8.8924095626916611E-3</v>
      </c>
    </row>
    <row r="137" spans="1:4" x14ac:dyDescent="0.35">
      <c r="A137" t="str">
        <f>Data!A138</f>
        <v>2022-07-12</v>
      </c>
      <c r="B137">
        <f>IF(OR(Data!B138="",Data!B137=""),"",Data!B138/Data!B137-1)</f>
        <v>-1.5149806878900329E-2</v>
      </c>
      <c r="C137">
        <f>IF(OR(Data!C138="",Data!C137=""),"",Data!C138/Data!C137-1)</f>
        <v>9.5240960800930807E-3</v>
      </c>
      <c r="D137">
        <f>IF(OR(Data!D138="",Data!D137=""),"",Data!D138/Data!D137-1)</f>
        <v>1.9204985554134746E-2</v>
      </c>
    </row>
    <row r="138" spans="1:4" x14ac:dyDescent="0.35">
      <c r="A138" t="str">
        <f>Data!A139</f>
        <v>2022-07-13</v>
      </c>
      <c r="B138">
        <f>IF(OR(Data!B139="",Data!B138=""),"",Data!B139/Data!B138-1)</f>
        <v>-6.0226104587829399E-3</v>
      </c>
      <c r="C138">
        <f>IF(OR(Data!C139="",Data!C138=""),"",Data!C139/Data!C138-1)</f>
        <v>-1.5394049245944896E-2</v>
      </c>
      <c r="D138">
        <f>IF(OR(Data!D139="",Data!D138=""),"",Data!D139/Data!D138-1)</f>
        <v>3.7347058965465862E-2</v>
      </c>
    </row>
    <row r="139" spans="1:4" x14ac:dyDescent="0.35">
      <c r="A139" t="str">
        <f>Data!A140</f>
        <v>2022-07-14</v>
      </c>
      <c r="B139">
        <f>IF(OR(Data!B140="",Data!B139=""),"",Data!B140/Data!B139-1)</f>
        <v>1.6809466590042232E-2</v>
      </c>
      <c r="C139">
        <f>IF(OR(Data!C140="",Data!C139=""),"",Data!C140/Data!C139-1)</f>
        <v>-9.0279066299757682E-3</v>
      </c>
      <c r="D139">
        <f>IF(OR(Data!D140="",Data!D139=""),"",Data!D140/Data!D139-1)</f>
        <v>-3.6269106431736642E-3</v>
      </c>
    </row>
    <row r="140" spans="1:4" x14ac:dyDescent="0.35">
      <c r="A140" t="str">
        <f>Data!A141</f>
        <v>2022-07-15</v>
      </c>
      <c r="B140">
        <f>IF(OR(Data!B141="",Data!B140=""),"",Data!B141/Data!B140-1)</f>
        <v>-2.3925657520601717E-2</v>
      </c>
      <c r="C140">
        <f>IF(OR(Data!C141="",Data!C140=""),"",Data!C141/Data!C140-1)</f>
        <v>2.9422312830352571E-2</v>
      </c>
      <c r="D140">
        <f>IF(OR(Data!D141="",Data!D140=""),"",Data!D141/Data!D140-1)</f>
        <v>-1.287182003488796E-2</v>
      </c>
    </row>
    <row r="141" spans="1:4" x14ac:dyDescent="0.35">
      <c r="A141" t="str">
        <f>Data!A142</f>
        <v>2022-07-18</v>
      </c>
      <c r="B141">
        <f>IF(OR(Data!B142="",Data!B141=""),"",Data!B142/Data!B141-1)</f>
        <v>4.9612859385170793E-3</v>
      </c>
      <c r="C141">
        <f>IF(OR(Data!C142="",Data!C141=""),"",Data!C142/Data!C141-1)</f>
        <v>-2.569483482166679E-3</v>
      </c>
      <c r="D141">
        <f>IF(OR(Data!D142="",Data!D141=""),"",Data!D142/Data!D141-1)</f>
        <v>5.6583751616590128E-4</v>
      </c>
    </row>
    <row r="142" spans="1:4" x14ac:dyDescent="0.35">
      <c r="A142" t="str">
        <f>Data!A143</f>
        <v>2022-07-19</v>
      </c>
      <c r="B142">
        <f>IF(OR(Data!B143="",Data!B142=""),"",Data!B143/Data!B142-1)</f>
        <v>2.6898201112117492E-2</v>
      </c>
      <c r="C142">
        <f>IF(OR(Data!C143="",Data!C142=""),"",Data!C143/Data!C142-1)</f>
        <v>3.5556388057151889E-3</v>
      </c>
      <c r="D142">
        <f>IF(OR(Data!D143="",Data!D142=""),"",Data!D143/Data!D142-1)</f>
        <v>1.8760124711496351E-2</v>
      </c>
    </row>
    <row r="143" spans="1:4" x14ac:dyDescent="0.35">
      <c r="A143" t="str">
        <f>Data!A144</f>
        <v>2022-07-20</v>
      </c>
      <c r="B143">
        <f>IF(OR(Data!B144="",Data!B143=""),"",Data!B144/Data!B143-1)</f>
        <v>-3.1251521538022686E-2</v>
      </c>
      <c r="C143">
        <f>IF(OR(Data!C144="",Data!C143=""),"",Data!C144/Data!C143-1)</f>
        <v>1.3427763190471564E-2</v>
      </c>
      <c r="D143">
        <f>IF(OR(Data!D144="",Data!D143=""),"",Data!D144/Data!D143-1)</f>
        <v>-4.1864357916436279E-2</v>
      </c>
    </row>
    <row r="144" spans="1:4" x14ac:dyDescent="0.35">
      <c r="A144" t="str">
        <f>Data!A145</f>
        <v>2022-07-21</v>
      </c>
      <c r="B144">
        <f>IF(OR(Data!B145="",Data!B144=""),"",Data!B145/Data!B144-1)</f>
        <v>4.1009697770373332E-3</v>
      </c>
      <c r="C144">
        <f>IF(OR(Data!C145="",Data!C144=""),"",Data!C145/Data!C144-1)</f>
        <v>7.7527316299208504E-3</v>
      </c>
      <c r="D144">
        <f>IF(OR(Data!D145="",Data!D144=""),"",Data!D145/Data!D144-1)</f>
        <v>-6.6052660608218572E-2</v>
      </c>
    </row>
    <row r="145" spans="1:4" x14ac:dyDescent="0.35">
      <c r="A145" t="str">
        <f>Data!A146</f>
        <v>2022-07-22</v>
      </c>
      <c r="B145">
        <f>IF(OR(Data!B146="",Data!B145=""),"",Data!B146/Data!B145-1)</f>
        <v>5.6144624548466471E-3</v>
      </c>
      <c r="C145">
        <f>IF(OR(Data!C146="",Data!C145=""),"",Data!C146/Data!C145-1)</f>
        <v>2.5468038364389045E-3</v>
      </c>
      <c r="D145">
        <f>IF(OR(Data!D146="",Data!D145=""),"",Data!D146/Data!D145-1)</f>
        <v>-1.583913214865118E-2</v>
      </c>
    </row>
    <row r="146" spans="1:4" x14ac:dyDescent="0.35">
      <c r="A146" t="str">
        <f>Data!A147</f>
        <v>2022-07-25</v>
      </c>
      <c r="B146">
        <f>IF(OR(Data!B147="",Data!B146=""),"",Data!B147/Data!B146-1)</f>
        <v>1.6165082946785425E-2</v>
      </c>
      <c r="C146">
        <f>IF(OR(Data!C147="",Data!C146=""),"",Data!C147/Data!C146-1)</f>
        <v>5.7787507325308685E-3</v>
      </c>
      <c r="D146">
        <f>IF(OR(Data!D147="",Data!D146=""),"",Data!D147/Data!D146-1)</f>
        <v>-3.5428956699405378E-2</v>
      </c>
    </row>
    <row r="147" spans="1:4" x14ac:dyDescent="0.35">
      <c r="A147" t="str">
        <f>Data!A148</f>
        <v>2022-07-26</v>
      </c>
      <c r="B147">
        <f>IF(OR(Data!B148="",Data!B147=""),"",Data!B148/Data!B147-1)</f>
        <v>-2.4044999381876431E-2</v>
      </c>
      <c r="C147">
        <f>IF(OR(Data!C148="",Data!C147=""),"",Data!C148/Data!C147-1)</f>
        <v>3.7007026542643651E-2</v>
      </c>
      <c r="D147">
        <f>IF(OR(Data!D148="",Data!D147=""),"",Data!D148/Data!D147-1)</f>
        <v>-1.4586704148359608E-2</v>
      </c>
    </row>
    <row r="148" spans="1:4" x14ac:dyDescent="0.35">
      <c r="A148" t="str">
        <f>Data!A149</f>
        <v>2022-07-27</v>
      </c>
      <c r="B148">
        <f>IF(OR(Data!B149="",Data!B148=""),"",Data!B149/Data!B148-1)</f>
        <v>-2.5673474606754065E-2</v>
      </c>
      <c r="C148">
        <f>IF(OR(Data!C149="",Data!C148=""),"",Data!C149/Data!C148-1)</f>
        <v>-5.7677241855791372E-4</v>
      </c>
      <c r="D148">
        <f>IF(OR(Data!D149="",Data!D148=""),"",Data!D149/Data!D148-1)</f>
        <v>-3.8756805281313644E-3</v>
      </c>
    </row>
    <row r="149" spans="1:4" x14ac:dyDescent="0.35">
      <c r="A149" t="str">
        <f>Data!A150</f>
        <v>2022-07-28</v>
      </c>
      <c r="B149">
        <f>IF(OR(Data!B150="",Data!B149=""),"",Data!B150/Data!B149-1)</f>
        <v>1.0897387938425318E-2</v>
      </c>
      <c r="C149">
        <f>IF(OR(Data!C150="",Data!C149=""),"",Data!C150/Data!C149-1)</f>
        <v>3.309354146156851E-3</v>
      </c>
      <c r="D149">
        <f>IF(OR(Data!D150="",Data!D149=""),"",Data!D150/Data!D149-1)</f>
        <v>-1.2963016397767424E-2</v>
      </c>
    </row>
    <row r="150" spans="1:4" x14ac:dyDescent="0.35">
      <c r="A150" t="str">
        <f>Data!A151</f>
        <v>2022-07-29</v>
      </c>
      <c r="B150">
        <f>IF(OR(Data!B151="",Data!B150=""),"",Data!B151/Data!B150-1)</f>
        <v>6.3599678725774211E-3</v>
      </c>
      <c r="C150">
        <f>IF(OR(Data!C151="",Data!C150=""),"",Data!C151/Data!C150-1)</f>
        <v>1.6176907854938305E-2</v>
      </c>
      <c r="D150">
        <f>IF(OR(Data!D151="",Data!D150=""),"",Data!D151/Data!D150-1)</f>
        <v>4.5112377675018633E-2</v>
      </c>
    </row>
    <row r="151" spans="1:4" x14ac:dyDescent="0.35">
      <c r="A151" t="str">
        <f>Data!A152</f>
        <v>2022-08-01</v>
      </c>
      <c r="B151">
        <f>IF(OR(Data!B152="",Data!B151=""),"",Data!B152/Data!B151-1)</f>
        <v>5.4240108022085565E-3</v>
      </c>
      <c r="C151">
        <f>IF(OR(Data!C152="",Data!C151=""),"",Data!C152/Data!C151-1)</f>
        <v>1.7013634013142154E-2</v>
      </c>
      <c r="D151">
        <f>IF(OR(Data!D152="",Data!D151=""),"",Data!D152/Data!D151-1)</f>
        <v>1.0406036730068013E-2</v>
      </c>
    </row>
    <row r="152" spans="1:4" x14ac:dyDescent="0.35">
      <c r="A152" t="str">
        <f>Data!A153</f>
        <v>2022-08-02</v>
      </c>
      <c r="B152">
        <f>IF(OR(Data!B153="",Data!B152=""),"",Data!B153/Data!B152-1)</f>
        <v>7.3564767572507073E-3</v>
      </c>
      <c r="C152">
        <f>IF(OR(Data!C153="",Data!C152=""),"",Data!C153/Data!C152-1)</f>
        <v>1.8257363092099244E-2</v>
      </c>
      <c r="D152">
        <f>IF(OR(Data!D153="",Data!D152=""),"",Data!D153/Data!D152-1)</f>
        <v>9.6102319308852824E-3</v>
      </c>
    </row>
    <row r="153" spans="1:4" x14ac:dyDescent="0.35">
      <c r="A153" t="str">
        <f>Data!A154</f>
        <v>2022-08-03</v>
      </c>
      <c r="B153">
        <f>IF(OR(Data!B154="",Data!B153=""),"",Data!B154/Data!B153-1)</f>
        <v>-1.3114008670458199E-2</v>
      </c>
      <c r="C153">
        <f>IF(OR(Data!C154="",Data!C153=""),"",Data!C154/Data!C153-1)</f>
        <v>9.9171629226619817E-3</v>
      </c>
      <c r="D153">
        <f>IF(OR(Data!D154="",Data!D153=""),"",Data!D154/Data!D153-1)</f>
        <v>1.9401806996480531E-2</v>
      </c>
    </row>
    <row r="154" spans="1:4" x14ac:dyDescent="0.35">
      <c r="A154" t="str">
        <f>Data!A155</f>
        <v>2022-08-04</v>
      </c>
      <c r="B154">
        <f>IF(OR(Data!B155="",Data!B154=""),"",Data!B155/Data!B154-1)</f>
        <v>5.0574313362932166E-3</v>
      </c>
      <c r="C154">
        <f>IF(OR(Data!C155="",Data!C154=""),"",Data!C155/Data!C154-1)</f>
        <v>-1.6716343609763484E-2</v>
      </c>
      <c r="D154">
        <f>IF(OR(Data!D155="",Data!D154=""),"",Data!D155/Data!D154-1)</f>
        <v>-3.3056215740561057E-2</v>
      </c>
    </row>
    <row r="155" spans="1:4" x14ac:dyDescent="0.35">
      <c r="A155" t="str">
        <f>Data!A156</f>
        <v>2022-08-05</v>
      </c>
      <c r="B155">
        <f>IF(OR(Data!B156="",Data!B155=""),"",Data!B156/Data!B155-1)</f>
        <v>6.2812773770806185E-3</v>
      </c>
      <c r="C155">
        <f>IF(OR(Data!C156="",Data!C155=""),"",Data!C156/Data!C155-1)</f>
        <v>2.5099011139581018E-2</v>
      </c>
      <c r="D155">
        <f>IF(OR(Data!D156="",Data!D155=""),"",Data!D156/Data!D155-1)</f>
        <v>3.2232073312244758E-2</v>
      </c>
    </row>
    <row r="156" spans="1:4" x14ac:dyDescent="0.35">
      <c r="A156" t="str">
        <f>Data!A157</f>
        <v>2022-08-08</v>
      </c>
      <c r="B156">
        <f>IF(OR(Data!B157="",Data!B156=""),"",Data!B157/Data!B156-1)</f>
        <v>-1.3791228187343019E-2</v>
      </c>
      <c r="C156">
        <f>IF(OR(Data!C157="",Data!C156=""),"",Data!C157/Data!C156-1)</f>
        <v>-1.6765658372611791E-2</v>
      </c>
      <c r="D156">
        <f>IF(OR(Data!D157="",Data!D156=""),"",Data!D157/Data!D156-1)</f>
        <v>-1.7218694747864749E-3</v>
      </c>
    </row>
    <row r="157" spans="1:4" x14ac:dyDescent="0.35">
      <c r="A157" t="str">
        <f>Data!A158</f>
        <v>2022-08-09</v>
      </c>
      <c r="B157">
        <f>IF(OR(Data!B158="",Data!B157=""),"",Data!B158/Data!B157-1)</f>
        <v>3.8435678525648775E-2</v>
      </c>
      <c r="C157">
        <f>IF(OR(Data!C158="",Data!C157=""),"",Data!C158/Data!C157-1)</f>
        <v>4.8390488168619239E-3</v>
      </c>
      <c r="D157">
        <f>IF(OR(Data!D158="",Data!D157=""),"",Data!D158/Data!D157-1)</f>
        <v>2.0879812726210423E-2</v>
      </c>
    </row>
    <row r="158" spans="1:4" x14ac:dyDescent="0.35">
      <c r="A158" t="str">
        <f>Data!A159</f>
        <v>2022-08-10</v>
      </c>
      <c r="B158">
        <f>IF(OR(Data!B159="",Data!B158=""),"",Data!B159/Data!B158-1)</f>
        <v>9.9263558489106618E-3</v>
      </c>
      <c r="C158">
        <f>IF(OR(Data!C159="",Data!C158=""),"",Data!C159/Data!C158-1)</f>
        <v>-1.096645253667039E-2</v>
      </c>
      <c r="D158">
        <f>IF(OR(Data!D159="",Data!D158=""),"",Data!D159/Data!D158-1)</f>
        <v>-3.1111451101166421E-2</v>
      </c>
    </row>
    <row r="159" spans="1:4" x14ac:dyDescent="0.35">
      <c r="A159" t="str">
        <f>Data!A160</f>
        <v>2022-08-11</v>
      </c>
      <c r="B159">
        <f>IF(OR(Data!B160="",Data!B159=""),"",Data!B160/Data!B159-1)</f>
        <v>-2.3153699979705844E-2</v>
      </c>
      <c r="C159">
        <f>IF(OR(Data!C160="",Data!C159=""),"",Data!C160/Data!C159-1)</f>
        <v>-6.7439238568389737E-4</v>
      </c>
      <c r="D159">
        <f>IF(OR(Data!D160="",Data!D159=""),"",Data!D160/Data!D159-1)</f>
        <v>-4.5017993746052198E-2</v>
      </c>
    </row>
    <row r="160" spans="1:4" x14ac:dyDescent="0.35">
      <c r="A160" t="str">
        <f>Data!A161</f>
        <v>2022-08-12</v>
      </c>
      <c r="B160">
        <f>IF(OR(Data!B161="",Data!B160=""),"",Data!B161/Data!B160-1)</f>
        <v>1.3623035808717932E-2</v>
      </c>
      <c r="C160">
        <f>IF(OR(Data!C161="",Data!C160=""),"",Data!C161/Data!C160-1)</f>
        <v>5.2326410551342128E-3</v>
      </c>
      <c r="D160">
        <f>IF(OR(Data!D161="",Data!D160=""),"",Data!D161/Data!D160-1)</f>
        <v>2.5404002643592216E-2</v>
      </c>
    </row>
    <row r="161" spans="1:4" x14ac:dyDescent="0.35">
      <c r="A161" t="str">
        <f>Data!A162</f>
        <v>2022-08-15</v>
      </c>
      <c r="B161">
        <f>IF(OR(Data!B162="",Data!B161=""),"",Data!B162/Data!B161-1)</f>
        <v>-1.8913275626551207E-2</v>
      </c>
      <c r="C161">
        <f>IF(OR(Data!C162="",Data!C161=""),"",Data!C162/Data!C161-1)</f>
        <v>5.1210596264121833E-3</v>
      </c>
      <c r="D161">
        <f>IF(OR(Data!D162="",Data!D161=""),"",Data!D162/Data!D161-1)</f>
        <v>1.1912505916436666E-2</v>
      </c>
    </row>
    <row r="162" spans="1:4" x14ac:dyDescent="0.35">
      <c r="A162" t="str">
        <f>Data!A163</f>
        <v>2022-08-16</v>
      </c>
      <c r="B162">
        <f>IF(OR(Data!B163="",Data!B162=""),"",Data!B163/Data!B162-1)</f>
        <v>1.6272428151573815E-2</v>
      </c>
      <c r="C162">
        <f>IF(OR(Data!C163="",Data!C162=""),"",Data!C163/Data!C162-1)</f>
        <v>6.638397937178242E-3</v>
      </c>
      <c r="D162">
        <f>IF(OR(Data!D163="",Data!D162=""),"",Data!D163/Data!D162-1)</f>
        <v>-2.6163110967711511E-2</v>
      </c>
    </row>
    <row r="163" spans="1:4" x14ac:dyDescent="0.35">
      <c r="A163" t="str">
        <f>Data!A164</f>
        <v>2022-08-17</v>
      </c>
      <c r="B163">
        <f>IF(OR(Data!B164="",Data!B163=""),"",Data!B164/Data!B163-1)</f>
        <v>2.385254450890395E-2</v>
      </c>
      <c r="C163">
        <f>IF(OR(Data!C164="",Data!C163=""),"",Data!C164/Data!C163-1)</f>
        <v>2.4795598575261257E-2</v>
      </c>
      <c r="D163">
        <f>IF(OR(Data!D164="",Data!D163=""),"",Data!D164/Data!D163-1)</f>
        <v>-2.5216492741823804E-2</v>
      </c>
    </row>
    <row r="164" spans="1:4" x14ac:dyDescent="0.35">
      <c r="A164" t="str">
        <f>Data!A165</f>
        <v>2022-08-18</v>
      </c>
      <c r="B164">
        <f>IF(OR(Data!B165="",Data!B164=""),"",Data!B165/Data!B164-1)</f>
        <v>-1.5886397315077794E-2</v>
      </c>
      <c r="C164">
        <f>IF(OR(Data!C165="",Data!C164=""),"",Data!C165/Data!C164-1)</f>
        <v>7.1154281082215221E-3</v>
      </c>
      <c r="D164">
        <f>IF(OR(Data!D165="",Data!D164=""),"",Data!D165/Data!D164-1)</f>
        <v>3.4908494408941504E-2</v>
      </c>
    </row>
    <row r="165" spans="1:4" x14ac:dyDescent="0.35">
      <c r="A165" t="str">
        <f>Data!A166</f>
        <v>2022-08-19</v>
      </c>
      <c r="B165">
        <f>IF(OR(Data!B166="",Data!B165=""),"",Data!B166/Data!B165-1)</f>
        <v>1.9862682615544802E-2</v>
      </c>
      <c r="C165">
        <f>IF(OR(Data!C166="",Data!C165=""),"",Data!C166/Data!C165-1)</f>
        <v>-3.3689400164338412E-3</v>
      </c>
      <c r="D165">
        <f>IF(OR(Data!D166="",Data!D165=""),"",Data!D166/Data!D165-1)</f>
        <v>-3.4522516785394752E-2</v>
      </c>
    </row>
    <row r="166" spans="1:4" x14ac:dyDescent="0.35">
      <c r="A166" t="str">
        <f>Data!A167</f>
        <v>2022-08-22</v>
      </c>
      <c r="B166">
        <f>IF(OR(Data!B167="",Data!B166=""),"",Data!B167/Data!B166-1)</f>
        <v>8.6928057030624117E-3</v>
      </c>
      <c r="C166">
        <f>IF(OR(Data!C167="",Data!C166=""),"",Data!C167/Data!C166-1)</f>
        <v>1.4857797615032364E-2</v>
      </c>
      <c r="D166">
        <f>IF(OR(Data!D167="",Data!D166=""),"",Data!D167/Data!D166-1)</f>
        <v>5.1092449175899057E-2</v>
      </c>
    </row>
    <row r="167" spans="1:4" x14ac:dyDescent="0.35">
      <c r="A167" t="str">
        <f>Data!A168</f>
        <v>2022-08-23</v>
      </c>
      <c r="B167">
        <f>IF(OR(Data!B168="",Data!B167=""),"",Data!B168/Data!B167-1)</f>
        <v>1.6984504020481017E-2</v>
      </c>
      <c r="C167">
        <f>IF(OR(Data!C168="",Data!C167=""),"",Data!C168/Data!C167-1)</f>
        <v>1.8295151311771951E-2</v>
      </c>
      <c r="D167">
        <f>IF(OR(Data!D168="",Data!D167=""),"",Data!D168/Data!D167-1)</f>
        <v>-2.612142605186496E-2</v>
      </c>
    </row>
    <row r="168" spans="1:4" x14ac:dyDescent="0.35">
      <c r="A168" t="str">
        <f>Data!A169</f>
        <v>2022-08-24</v>
      </c>
      <c r="B168">
        <f>IF(OR(Data!B169="",Data!B168=""),"",Data!B169/Data!B168-1)</f>
        <v>3.9080184681046237E-2</v>
      </c>
      <c r="C168">
        <f>IF(OR(Data!C169="",Data!C168=""),"",Data!C169/Data!C168-1)</f>
        <v>-1.7963279263989773E-2</v>
      </c>
      <c r="D168">
        <f>IF(OR(Data!D169="",Data!D168=""),"",Data!D169/Data!D168-1)</f>
        <v>1.9897195963419323E-2</v>
      </c>
    </row>
    <row r="169" spans="1:4" x14ac:dyDescent="0.35">
      <c r="A169" t="str">
        <f>Data!A170</f>
        <v>2022-08-25</v>
      </c>
      <c r="B169">
        <f>IF(OR(Data!B170="",Data!B169=""),"",Data!B170/Data!B169-1)</f>
        <v>-4.497760716570709E-3</v>
      </c>
      <c r="C169">
        <f>IF(OR(Data!C170="",Data!C169=""),"",Data!C170/Data!C169-1)</f>
        <v>9.2913311681717126E-3</v>
      </c>
      <c r="D169">
        <f>IF(OR(Data!D170="",Data!D169=""),"",Data!D170/Data!D169-1)</f>
        <v>-9.2652701377076152E-3</v>
      </c>
    </row>
    <row r="170" spans="1:4" x14ac:dyDescent="0.35">
      <c r="A170" t="str">
        <f>Data!A171</f>
        <v>2022-08-26</v>
      </c>
      <c r="B170">
        <f>IF(OR(Data!B171="",Data!B170=""),"",Data!B171/Data!B170-1)</f>
        <v>-1.4567547360596067E-2</v>
      </c>
      <c r="C170">
        <f>IF(OR(Data!C171="",Data!C170=""),"",Data!C171/Data!C170-1)</f>
        <v>1.0863654594872374E-2</v>
      </c>
      <c r="D170">
        <f>IF(OR(Data!D171="",Data!D170=""),"",Data!D171/Data!D170-1)</f>
        <v>1.8820647615571895E-2</v>
      </c>
    </row>
    <row r="171" spans="1:4" x14ac:dyDescent="0.35">
      <c r="A171" t="str">
        <f>Data!A172</f>
        <v>2022-08-29</v>
      </c>
      <c r="B171">
        <f>IF(OR(Data!B172="",Data!B171=""),"",Data!B172/Data!B171-1)</f>
        <v>-1.7240554706505096E-2</v>
      </c>
      <c r="C171">
        <f>IF(OR(Data!C172="",Data!C171=""),"",Data!C172/Data!C171-1)</f>
        <v>-4.1672868659659024E-3</v>
      </c>
      <c r="D171">
        <f>IF(OR(Data!D172="",Data!D171=""),"",Data!D172/Data!D171-1)</f>
        <v>-1.5649942033606812E-2</v>
      </c>
    </row>
    <row r="172" spans="1:4" x14ac:dyDescent="0.35">
      <c r="A172" t="str">
        <f>Data!A173</f>
        <v>2022-08-30</v>
      </c>
      <c r="B172">
        <f>IF(OR(Data!B173="",Data!B172=""),"",Data!B173/Data!B172-1)</f>
        <v>-1.5789921924167172E-2</v>
      </c>
      <c r="C172">
        <f>IF(OR(Data!C173="",Data!C172=""),"",Data!C173/Data!C172-1)</f>
        <v>2.1143519149516177E-2</v>
      </c>
      <c r="D172">
        <f>IF(OR(Data!D173="",Data!D172=""),"",Data!D173/Data!D172-1)</f>
        <v>-4.3241178799523494E-3</v>
      </c>
    </row>
    <row r="173" spans="1:4" x14ac:dyDescent="0.35">
      <c r="A173" t="str">
        <f>Data!A174</f>
        <v>2022-08-31</v>
      </c>
      <c r="B173">
        <f>IF(OR(Data!B174="",Data!B173=""),"",Data!B174/Data!B173-1)</f>
        <v>-1.1417718816196798E-3</v>
      </c>
      <c r="C173">
        <f>IF(OR(Data!C174="",Data!C173=""),"",Data!C174/Data!C173-1)</f>
        <v>-1.9611690311477359E-3</v>
      </c>
      <c r="D173">
        <f>IF(OR(Data!D174="",Data!D173=""),"",Data!D174/Data!D173-1)</f>
        <v>1.7793326297672607E-3</v>
      </c>
    </row>
    <row r="174" spans="1:4" x14ac:dyDescent="0.35">
      <c r="A174" t="str">
        <f>Data!A175</f>
        <v>2022-09-01</v>
      </c>
      <c r="B174">
        <f>IF(OR(Data!B175="",Data!B174=""),"",Data!B175/Data!B174-1)</f>
        <v>7.2499884679728677E-3</v>
      </c>
      <c r="C174">
        <f>IF(OR(Data!C175="",Data!C174=""),"",Data!C175/Data!C174-1)</f>
        <v>2.1732046320686038E-3</v>
      </c>
      <c r="D174">
        <f>IF(OR(Data!D175="",Data!D174=""),"",Data!D175/Data!D174-1)</f>
        <v>-2.9084319065484809E-2</v>
      </c>
    </row>
    <row r="175" spans="1:4" x14ac:dyDescent="0.35">
      <c r="A175" t="str">
        <f>Data!A176</f>
        <v>2022-09-02</v>
      </c>
      <c r="B175">
        <f>IF(OR(Data!B176="",Data!B175=""),"",Data!B176/Data!B175-1)</f>
        <v>5.9512573259776769E-3</v>
      </c>
      <c r="C175">
        <f>IF(OR(Data!C176="",Data!C175=""),"",Data!C176/Data!C175-1)</f>
        <v>-2.3059410899662902E-3</v>
      </c>
      <c r="D175">
        <f>IF(OR(Data!D176="",Data!D175=""),"",Data!D176/Data!D175-1)</f>
        <v>2.3036024921668119E-2</v>
      </c>
    </row>
    <row r="176" spans="1:4" x14ac:dyDescent="0.35">
      <c r="A176" t="str">
        <f>Data!A177</f>
        <v>2022-09-05</v>
      </c>
      <c r="B176">
        <f>IF(OR(Data!B177="",Data!B176=""),"",Data!B177/Data!B176-1)</f>
        <v>1.7087478250634724E-2</v>
      </c>
      <c r="C176">
        <f>IF(OR(Data!C177="",Data!C176=""),"",Data!C177/Data!C176-1)</f>
        <v>5.216409665604882E-4</v>
      </c>
      <c r="D176">
        <f>IF(OR(Data!D177="",Data!D176=""),"",Data!D177/Data!D176-1)</f>
        <v>-1.4736890968602201E-2</v>
      </c>
    </row>
    <row r="177" spans="1:4" x14ac:dyDescent="0.35">
      <c r="A177" t="str">
        <f>Data!A178</f>
        <v>2022-09-06</v>
      </c>
      <c r="B177">
        <f>IF(OR(Data!B178="",Data!B177=""),"",Data!B178/Data!B177-1)</f>
        <v>6.6048755990766317E-4</v>
      </c>
      <c r="C177">
        <f>IF(OR(Data!C178="",Data!C177=""),"",Data!C178/Data!C177-1)</f>
        <v>-1.602697215622173E-2</v>
      </c>
      <c r="D177">
        <f>IF(OR(Data!D178="",Data!D177=""),"",Data!D178/Data!D177-1)</f>
        <v>-6.2882485187101267E-3</v>
      </c>
    </row>
    <row r="178" spans="1:4" x14ac:dyDescent="0.35">
      <c r="A178" t="str">
        <f>Data!A179</f>
        <v>2022-09-07</v>
      </c>
      <c r="B178">
        <f>IF(OR(Data!B179="",Data!B178=""),"",Data!B179/Data!B178-1)</f>
        <v>2.9909611115050749E-2</v>
      </c>
      <c r="C178">
        <f>IF(OR(Data!C179="",Data!C178=""),"",Data!C179/Data!C178-1)</f>
        <v>-2.1087564749475263E-2</v>
      </c>
      <c r="D178">
        <f>IF(OR(Data!D179="",Data!D178=""),"",Data!D179/Data!D178-1)</f>
        <v>-2.885574241745692E-2</v>
      </c>
    </row>
    <row r="179" spans="1:4" x14ac:dyDescent="0.35">
      <c r="A179" t="str">
        <f>Data!A180</f>
        <v>2022-09-08</v>
      </c>
      <c r="B179">
        <f>IF(OR(Data!B180="",Data!B179=""),"",Data!B180/Data!B179-1)</f>
        <v>-4.8813042234721049E-3</v>
      </c>
      <c r="C179">
        <f>IF(OR(Data!C180="",Data!C179=""),"",Data!C180/Data!C179-1)</f>
        <v>2.4500338181370651E-2</v>
      </c>
      <c r="D179">
        <f>IF(OR(Data!D180="",Data!D179=""),"",Data!D180/Data!D179-1)</f>
        <v>-7.3480473291767878E-2</v>
      </c>
    </row>
    <row r="180" spans="1:4" x14ac:dyDescent="0.35">
      <c r="A180" t="str">
        <f>Data!A181</f>
        <v>2022-09-09</v>
      </c>
      <c r="B180">
        <f>IF(OR(Data!B181="",Data!B180=""),"",Data!B181/Data!B180-1)</f>
        <v>5.6332645661814729E-2</v>
      </c>
      <c r="C180">
        <f>IF(OR(Data!C181="",Data!C180=""),"",Data!C181/Data!C180-1)</f>
        <v>-1.2340366155931703E-2</v>
      </c>
      <c r="D180">
        <f>IF(OR(Data!D181="",Data!D180=""),"",Data!D181/Data!D180-1)</f>
        <v>-5.167384422586796E-3</v>
      </c>
    </row>
    <row r="181" spans="1:4" x14ac:dyDescent="0.35">
      <c r="A181" t="str">
        <f>Data!A182</f>
        <v>2022-09-12</v>
      </c>
      <c r="B181">
        <f>IF(OR(Data!B182="",Data!B181=""),"",Data!B182/Data!B181-1)</f>
        <v>1.2996802445982558E-2</v>
      </c>
      <c r="C181">
        <f>IF(OR(Data!C182="",Data!C181=""),"",Data!C182/Data!C181-1)</f>
        <v>-1.447746037958253E-2</v>
      </c>
      <c r="D181">
        <f>IF(OR(Data!D182="",Data!D181=""),"",Data!D182/Data!D181-1)</f>
        <v>7.5653639267926343E-2</v>
      </c>
    </row>
    <row r="182" spans="1:4" x14ac:dyDescent="0.35">
      <c r="A182" t="str">
        <f>Data!A183</f>
        <v>2022-09-13</v>
      </c>
      <c r="B182">
        <f>IF(OR(Data!B183="",Data!B182=""),"",Data!B183/Data!B182-1)</f>
        <v>-1.6603363648482139E-2</v>
      </c>
      <c r="C182">
        <f>IF(OR(Data!C183="",Data!C182=""),"",Data!C183/Data!C182-1)</f>
        <v>-3.1506433690492441E-2</v>
      </c>
      <c r="D182">
        <f>IF(OR(Data!D183="",Data!D182=""),"",Data!D183/Data!D182-1)</f>
        <v>2.4380544378039382E-2</v>
      </c>
    </row>
    <row r="183" spans="1:4" x14ac:dyDescent="0.35">
      <c r="A183" t="str">
        <f>Data!A184</f>
        <v>2022-09-14</v>
      </c>
      <c r="B183">
        <f>IF(OR(Data!B184="",Data!B183=""),"",Data!B184/Data!B183-1)</f>
        <v>-2.079860155706259E-2</v>
      </c>
      <c r="C183">
        <f>IF(OR(Data!C184="",Data!C183=""),"",Data!C184/Data!C183-1)</f>
        <v>-9.2536219561557553E-3</v>
      </c>
      <c r="D183">
        <f>IF(OR(Data!D184="",Data!D183=""),"",Data!D184/Data!D183-1)</f>
        <v>-2.7692363961273614E-5</v>
      </c>
    </row>
    <row r="184" spans="1:4" x14ac:dyDescent="0.35">
      <c r="A184" t="str">
        <f>Data!A185</f>
        <v>2022-09-15</v>
      </c>
      <c r="B184">
        <f>IF(OR(Data!B185="",Data!B184=""),"",Data!B185/Data!B184-1)</f>
        <v>1.0100540513735989E-2</v>
      </c>
      <c r="C184">
        <f>IF(OR(Data!C185="",Data!C184=""),"",Data!C185/Data!C184-1)</f>
        <v>-1.9369075137661618E-2</v>
      </c>
      <c r="D184">
        <f>IF(OR(Data!D185="",Data!D184=""),"",Data!D185/Data!D184-1)</f>
        <v>-7.309941520467822E-3</v>
      </c>
    </row>
    <row r="185" spans="1:4" x14ac:dyDescent="0.35">
      <c r="A185" t="str">
        <f>Data!A186</f>
        <v>2022-09-16</v>
      </c>
      <c r="B185">
        <f>IF(OR(Data!B186="",Data!B185=""),"",Data!B186/Data!B185-1)</f>
        <v>-4.061386148740298E-3</v>
      </c>
      <c r="C185">
        <f>IF(OR(Data!C186="",Data!C185=""),"",Data!C186/Data!C185-1)</f>
        <v>2.5230791683019227E-2</v>
      </c>
      <c r="D185">
        <f>IF(OR(Data!D186="",Data!D185=""),"",Data!D186/Data!D185-1)</f>
        <v>1.2248386971127623E-3</v>
      </c>
    </row>
    <row r="186" spans="1:4" x14ac:dyDescent="0.35">
      <c r="A186" t="str">
        <f>Data!A187</f>
        <v>2022-09-19</v>
      </c>
      <c r="B186">
        <f>IF(OR(Data!B187="",Data!B186=""),"",Data!B187/Data!B186-1)</f>
        <v>1.4787825511874519E-2</v>
      </c>
      <c r="C186">
        <f>IF(OR(Data!C187="",Data!C186=""),"",Data!C187/Data!C186-1)</f>
        <v>1.5554412068808032E-2</v>
      </c>
      <c r="D186">
        <f>IF(OR(Data!D187="",Data!D186=""),"",Data!D187/Data!D186-1)</f>
        <v>1.7107838472817161E-2</v>
      </c>
    </row>
    <row r="187" spans="1:4" x14ac:dyDescent="0.35">
      <c r="A187" t="str">
        <f>Data!A188</f>
        <v>2022-09-20</v>
      </c>
      <c r="B187">
        <f>IF(OR(Data!B188="",Data!B187=""),"",Data!B188/Data!B187-1)</f>
        <v>9.9142458716783288E-3</v>
      </c>
      <c r="C187">
        <f>IF(OR(Data!C188="",Data!C187=""),"",Data!C188/Data!C187-1)</f>
        <v>-9.9845910082329015E-3</v>
      </c>
      <c r="D187">
        <f>IF(OR(Data!D188="",Data!D187=""),"",Data!D188/Data!D187-1)</f>
        <v>-3.4273335914252856E-2</v>
      </c>
    </row>
    <row r="188" spans="1:4" x14ac:dyDescent="0.35">
      <c r="A188" t="str">
        <f>Data!A189</f>
        <v>2022-09-21</v>
      </c>
      <c r="B188">
        <f>IF(OR(Data!B189="",Data!B188=""),"",Data!B189/Data!B188-1)</f>
        <v>-1.0561429139724909E-3</v>
      </c>
      <c r="C188">
        <f>IF(OR(Data!C189="",Data!C188=""),"",Data!C189/Data!C188-1)</f>
        <v>3.4661632233510042E-2</v>
      </c>
      <c r="D188">
        <f>IF(OR(Data!D189="",Data!D188=""),"",Data!D189/Data!D188-1)</f>
        <v>3.4563760903702612E-2</v>
      </c>
    </row>
    <row r="189" spans="1:4" x14ac:dyDescent="0.35">
      <c r="A189" t="str">
        <f>Data!A190</f>
        <v>2022-09-22</v>
      </c>
      <c r="B189">
        <f>IF(OR(Data!B190="",Data!B189=""),"",Data!B190/Data!B189-1)</f>
        <v>-1.6399559842996014E-2</v>
      </c>
      <c r="C189">
        <f>IF(OR(Data!C190="",Data!C189=""),"",Data!C190/Data!C189-1)</f>
        <v>1.5127118742011003E-2</v>
      </c>
      <c r="D189">
        <f>IF(OR(Data!D190="",Data!D189=""),"",Data!D190/Data!D189-1)</f>
        <v>2.225578006198714E-2</v>
      </c>
    </row>
    <row r="190" spans="1:4" x14ac:dyDescent="0.35">
      <c r="A190" t="str">
        <f>Data!A191</f>
        <v>2022-09-23</v>
      </c>
      <c r="B190">
        <f>IF(OR(Data!B191="",Data!B190=""),"",Data!B191/Data!B190-1)</f>
        <v>-2.9455376883602113E-2</v>
      </c>
      <c r="C190">
        <f>IF(OR(Data!C191="",Data!C190=""),"",Data!C191/Data!C190-1)</f>
        <v>-4.574523750863646E-3</v>
      </c>
      <c r="D190">
        <f>IF(OR(Data!D191="",Data!D190=""),"",Data!D191/Data!D190-1)</f>
        <v>2.2341081811193542E-2</v>
      </c>
    </row>
    <row r="191" spans="1:4" x14ac:dyDescent="0.35">
      <c r="A191" t="str">
        <f>Data!A192</f>
        <v>2022-09-26</v>
      </c>
      <c r="B191">
        <f>IF(OR(Data!B192="",Data!B191=""),"",Data!B192/Data!B191-1)</f>
        <v>-8.4933565202770511E-3</v>
      </c>
      <c r="C191">
        <f>IF(OR(Data!C192="",Data!C191=""),"",Data!C192/Data!C191-1)</f>
        <v>-3.6520066684600505E-2</v>
      </c>
      <c r="D191">
        <f>IF(OR(Data!D192="",Data!D191=""),"",Data!D192/Data!D191-1)</f>
        <v>1.3798995815651027E-2</v>
      </c>
    </row>
    <row r="192" spans="1:4" x14ac:dyDescent="0.35">
      <c r="A192" t="str">
        <f>Data!A193</f>
        <v>2022-09-27</v>
      </c>
      <c r="B192">
        <f>IF(OR(Data!B193="",Data!B192=""),"",Data!B193/Data!B192-1)</f>
        <v>1.7682243149124144E-2</v>
      </c>
      <c r="C192">
        <f>IF(OR(Data!C193="",Data!C192=""),"",Data!C193/Data!C192-1)</f>
        <v>3.5259018815889664E-2</v>
      </c>
      <c r="D192">
        <f>IF(OR(Data!D193="",Data!D192=""),"",Data!D193/Data!D192-1)</f>
        <v>1.1391473630910642E-3</v>
      </c>
    </row>
    <row r="193" spans="1:4" x14ac:dyDescent="0.35">
      <c r="A193" t="str">
        <f>Data!A194</f>
        <v>2022-09-28</v>
      </c>
      <c r="B193">
        <f>IF(OR(Data!B194="",Data!B193=""),"",Data!B194/Data!B193-1)</f>
        <v>4.6933885390512131E-3</v>
      </c>
      <c r="C193">
        <f>IF(OR(Data!C194="",Data!C193=""),"",Data!C194/Data!C193-1)</f>
        <v>-2.0346374552171143E-2</v>
      </c>
      <c r="D193">
        <f>IF(OR(Data!D194="",Data!D193=""),"",Data!D194/Data!D193-1)</f>
        <v>2.0951971267428871E-2</v>
      </c>
    </row>
    <row r="194" spans="1:4" x14ac:dyDescent="0.35">
      <c r="A194" t="str">
        <f>Data!A195</f>
        <v>2022-09-29</v>
      </c>
      <c r="B194">
        <f>IF(OR(Data!B195="",Data!B194=""),"",Data!B195/Data!B194-1)</f>
        <v>-2.4217605001689457E-2</v>
      </c>
      <c r="C194">
        <f>IF(OR(Data!C195="",Data!C194=""),"",Data!C195/Data!C194-1)</f>
        <v>-2.4098252664825348E-2</v>
      </c>
      <c r="D194">
        <f>IF(OR(Data!D195="",Data!D194=""),"",Data!D195/Data!D194-1)</f>
        <v>1.8473091722936985E-2</v>
      </c>
    </row>
    <row r="195" spans="1:4" x14ac:dyDescent="0.35">
      <c r="A195" t="str">
        <f>Data!A196</f>
        <v>2022-09-30</v>
      </c>
      <c r="B195">
        <f>IF(OR(Data!B196="",Data!B195=""),"",Data!B196/Data!B195-1)</f>
        <v>3.8717736547313475E-3</v>
      </c>
      <c r="C195">
        <f>IF(OR(Data!C196="",Data!C195=""),"",Data!C196/Data!C195-1)</f>
        <v>1.5748821009302416E-2</v>
      </c>
      <c r="D195">
        <f>IF(OR(Data!D196="",Data!D195=""),"",Data!D196/Data!D195-1)</f>
        <v>-1.0020708400856559E-2</v>
      </c>
    </row>
    <row r="196" spans="1:4" x14ac:dyDescent="0.35">
      <c r="A196" t="str">
        <f>Data!A197</f>
        <v>2022-10-03</v>
      </c>
      <c r="B196">
        <f>IF(OR(Data!B197="",Data!B196=""),"",Data!B197/Data!B196-1)</f>
        <v>8.1390451964606925E-3</v>
      </c>
      <c r="C196">
        <f>IF(OR(Data!C197="",Data!C196=""),"",Data!C197/Data!C196-1)</f>
        <v>3.7572553285248667E-2</v>
      </c>
      <c r="D196">
        <f>IF(OR(Data!D197="",Data!D196=""),"",Data!D197/Data!D196-1)</f>
        <v>-1.6520256360568752E-2</v>
      </c>
    </row>
    <row r="197" spans="1:4" x14ac:dyDescent="0.35">
      <c r="A197" t="str">
        <f>Data!A198</f>
        <v>2022-10-04</v>
      </c>
      <c r="B197">
        <f>IF(OR(Data!B198="",Data!B197=""),"",Data!B198/Data!B197-1)</f>
        <v>-1.7129074715092729E-2</v>
      </c>
      <c r="C197">
        <f>IF(OR(Data!C198="",Data!C197=""),"",Data!C198/Data!C197-1)</f>
        <v>2.1274707106333057E-2</v>
      </c>
      <c r="D197">
        <f>IF(OR(Data!D198="",Data!D197=""),"",Data!D198/Data!D197-1)</f>
        <v>3.612183145104364E-3</v>
      </c>
    </row>
    <row r="198" spans="1:4" x14ac:dyDescent="0.35">
      <c r="A198" t="str">
        <f>Data!A199</f>
        <v>2022-10-05</v>
      </c>
      <c r="B198">
        <f>IF(OR(Data!B199="",Data!B198=""),"",Data!B199/Data!B198-1)</f>
        <v>3.4812471835001801E-3</v>
      </c>
      <c r="C198">
        <f>IF(OR(Data!C199="",Data!C198=""),"",Data!C199/Data!C198-1)</f>
        <v>8.784398466162413E-3</v>
      </c>
      <c r="D198">
        <f>IF(OR(Data!D199="",Data!D198=""),"",Data!D199/Data!D198-1)</f>
        <v>4.8143982650194372E-2</v>
      </c>
    </row>
    <row r="199" spans="1:4" x14ac:dyDescent="0.35">
      <c r="A199" t="str">
        <f>Data!A200</f>
        <v>2022-10-06</v>
      </c>
      <c r="B199">
        <f>IF(OR(Data!B200="",Data!B199=""),"",Data!B200/Data!B199-1)</f>
        <v>1.5653832156015124E-3</v>
      </c>
      <c r="C199">
        <f>IF(OR(Data!C200="",Data!C199=""),"",Data!C200/Data!C199-1)</f>
        <v>9.2513755776586493E-3</v>
      </c>
      <c r="D199">
        <f>IF(OR(Data!D200="",Data!D199=""),"",Data!D200/Data!D199-1)</f>
        <v>-3.5960755596284422E-2</v>
      </c>
    </row>
    <row r="200" spans="1:4" x14ac:dyDescent="0.35">
      <c r="A200" t="str">
        <f>Data!A201</f>
        <v>2022-10-07</v>
      </c>
      <c r="B200">
        <f>IF(OR(Data!B201="",Data!B200=""),"",Data!B201/Data!B200-1)</f>
        <v>-2.2209425007198469E-2</v>
      </c>
      <c r="C200">
        <f>IF(OR(Data!C201="",Data!C200=""),"",Data!C201/Data!C200-1)</f>
        <v>1.3174594349192104E-2</v>
      </c>
      <c r="D200">
        <f>IF(OR(Data!D201="",Data!D200=""),"",Data!D201/Data!D200-1)</f>
        <v>-4.2544387833873709E-2</v>
      </c>
    </row>
    <row r="201" spans="1:4" x14ac:dyDescent="0.35">
      <c r="A201" t="str">
        <f>Data!A202</f>
        <v>2022-10-10</v>
      </c>
      <c r="B201">
        <f>IF(OR(Data!B202="",Data!B201=""),"",Data!B202/Data!B201-1)</f>
        <v>7.5846976009317224E-3</v>
      </c>
      <c r="C201">
        <f>IF(OR(Data!C202="",Data!C201=""),"",Data!C202/Data!C201-1)</f>
        <v>1.1739811654860155E-2</v>
      </c>
      <c r="D201">
        <f>IF(OR(Data!D202="",Data!D201=""),"",Data!D202/Data!D201-1)</f>
        <v>5.5079018868076091E-3</v>
      </c>
    </row>
    <row r="202" spans="1:4" x14ac:dyDescent="0.35">
      <c r="A202" t="str">
        <f>Data!A203</f>
        <v>2022-10-11</v>
      </c>
      <c r="B202">
        <f>IF(OR(Data!B203="",Data!B202=""),"",Data!B203/Data!B202-1)</f>
        <v>1.1682883007245071E-2</v>
      </c>
      <c r="C202">
        <f>IF(OR(Data!C203="",Data!C202=""),"",Data!C203/Data!C202-1)</f>
        <v>4.5156145963729521E-3</v>
      </c>
      <c r="D202">
        <f>IF(OR(Data!D203="",Data!D202=""),"",Data!D203/Data!D202-1)</f>
        <v>2.0788830777536127E-3</v>
      </c>
    </row>
    <row r="203" spans="1:4" x14ac:dyDescent="0.35">
      <c r="A203" t="str">
        <f>Data!A204</f>
        <v>2022-10-12</v>
      </c>
      <c r="B203">
        <f>IF(OR(Data!B204="",Data!B203=""),"",Data!B204/Data!B203-1)</f>
        <v>2.2306033448923124E-2</v>
      </c>
      <c r="C203">
        <f>IF(OR(Data!C204="",Data!C203=""),"",Data!C204/Data!C203-1)</f>
        <v>1.8520376666026905E-3</v>
      </c>
      <c r="D203">
        <f>IF(OR(Data!D204="",Data!D203=""),"",Data!D204/Data!D203-1)</f>
        <v>5.7667440424427063E-3</v>
      </c>
    </row>
    <row r="204" spans="1:4" x14ac:dyDescent="0.35">
      <c r="A204" t="str">
        <f>Data!A205</f>
        <v>2022-10-13</v>
      </c>
      <c r="B204">
        <f>IF(OR(Data!B205="",Data!B204=""),"",Data!B205/Data!B204-1)</f>
        <v>2.1708800306982523E-2</v>
      </c>
      <c r="C204">
        <f>IF(OR(Data!C205="",Data!C204=""),"",Data!C205/Data!C204-1)</f>
        <v>-6.5100409105567358E-4</v>
      </c>
      <c r="D204">
        <f>IF(OR(Data!D205="",Data!D204=""),"",Data!D205/Data!D204-1)</f>
        <v>7.89965987643515E-3</v>
      </c>
    </row>
    <row r="205" spans="1:4" x14ac:dyDescent="0.35">
      <c r="A205" t="str">
        <f>Data!A206</f>
        <v>2022-10-14</v>
      </c>
      <c r="B205">
        <f>IF(OR(Data!B206="",Data!B205=""),"",Data!B206/Data!B205-1)</f>
        <v>-2.6788293083194858E-2</v>
      </c>
      <c r="C205">
        <f>IF(OR(Data!C206="",Data!C205=""),"",Data!C206/Data!C205-1)</f>
        <v>-1.0961319435066508E-2</v>
      </c>
      <c r="D205">
        <f>IF(OR(Data!D206="",Data!D205=""),"",Data!D206/Data!D205-1)</f>
        <v>-6.1273819262148699E-3</v>
      </c>
    </row>
    <row r="206" spans="1:4" x14ac:dyDescent="0.35">
      <c r="A206" t="str">
        <f>Data!A207</f>
        <v>2022-10-17</v>
      </c>
      <c r="B206">
        <f>IF(OR(Data!B207="",Data!B206=""),"",Data!B207/Data!B206-1)</f>
        <v>-1.8189292384616751E-2</v>
      </c>
      <c r="C206">
        <f>IF(OR(Data!C207="",Data!C206=""),"",Data!C207/Data!C206-1)</f>
        <v>-3.9149614386173592E-3</v>
      </c>
      <c r="D206">
        <f>IF(OR(Data!D207="",Data!D206=""),"",Data!D207/Data!D206-1)</f>
        <v>4.6285118283648119E-2</v>
      </c>
    </row>
    <row r="207" spans="1:4" x14ac:dyDescent="0.35">
      <c r="A207" t="str">
        <f>Data!A208</f>
        <v>2022-10-18</v>
      </c>
      <c r="B207">
        <f>IF(OR(Data!B208="",Data!B207=""),"",Data!B208/Data!B207-1)</f>
        <v>1.0757948299470854E-2</v>
      </c>
      <c r="C207">
        <f>IF(OR(Data!C208="",Data!C207=""),"",Data!C208/Data!C207-1)</f>
        <v>-2.4794214913082313E-2</v>
      </c>
      <c r="D207">
        <f>IF(OR(Data!D208="",Data!D207=""),"",Data!D208/Data!D207-1)</f>
        <v>-4.6367707222917276E-2</v>
      </c>
    </row>
    <row r="208" spans="1:4" x14ac:dyDescent="0.35">
      <c r="A208" t="str">
        <f>Data!A209</f>
        <v>2022-10-19</v>
      </c>
      <c r="B208">
        <f>IF(OR(Data!B209="",Data!B208=""),"",Data!B209/Data!B208-1)</f>
        <v>1.0733269224672659E-2</v>
      </c>
      <c r="C208">
        <f>IF(OR(Data!C209="",Data!C208=""),"",Data!C209/Data!C208-1)</f>
        <v>-1.1872473894701807E-3</v>
      </c>
      <c r="D208">
        <f>IF(OR(Data!D209="",Data!D208=""),"",Data!D209/Data!D208-1)</f>
        <v>-2.401180727070007E-2</v>
      </c>
    </row>
    <row r="209" spans="1:4" x14ac:dyDescent="0.35">
      <c r="A209" t="str">
        <f>Data!A210</f>
        <v>2022-10-20</v>
      </c>
      <c r="B209">
        <f>IF(OR(Data!B210="",Data!B209=""),"",Data!B210/Data!B209-1)</f>
        <v>1.0758342943353094E-2</v>
      </c>
      <c r="C209">
        <f>IF(OR(Data!C210="",Data!C209=""),"",Data!C210/Data!C209-1)</f>
        <v>-1.4436050962742697E-2</v>
      </c>
      <c r="D209">
        <f>IF(OR(Data!D210="",Data!D209=""),"",Data!D210/Data!D209-1)</f>
        <v>-2.5441231457989932E-3</v>
      </c>
    </row>
    <row r="210" spans="1:4" x14ac:dyDescent="0.35">
      <c r="A210" t="str">
        <f>Data!A211</f>
        <v>2022-10-21</v>
      </c>
      <c r="B210">
        <f>IF(OR(Data!B211="",Data!B210=""),"",Data!B211/Data!B210-1)</f>
        <v>8.0533163969849664E-2</v>
      </c>
      <c r="C210">
        <f>IF(OR(Data!C211="",Data!C210=""),"",Data!C211/Data!C210-1)</f>
        <v>-1.6134659500895543E-2</v>
      </c>
      <c r="D210">
        <f>IF(OR(Data!D211="",Data!D210=""),"",Data!D211/Data!D210-1)</f>
        <v>-4.7577044188136575E-2</v>
      </c>
    </row>
    <row r="211" spans="1:4" x14ac:dyDescent="0.35">
      <c r="A211" t="str">
        <f>Data!A212</f>
        <v>2022-10-24</v>
      </c>
      <c r="B211">
        <f>IF(OR(Data!B212="",Data!B211=""),"",Data!B212/Data!B211-1)</f>
        <v>1.1888613295067074E-2</v>
      </c>
      <c r="C211">
        <f>IF(OR(Data!C212="",Data!C211=""),"",Data!C212/Data!C211-1)</f>
        <v>2.9902297255852694E-3</v>
      </c>
      <c r="D211">
        <f>IF(OR(Data!D212="",Data!D211=""),"",Data!D212/Data!D211-1)</f>
        <v>-4.7141476733305598E-3</v>
      </c>
    </row>
    <row r="212" spans="1:4" x14ac:dyDescent="0.35">
      <c r="A212" t="str">
        <f>Data!A213</f>
        <v>2022-10-25</v>
      </c>
      <c r="B212">
        <f>IF(OR(Data!B213="",Data!B212=""),"",Data!B213/Data!B212-1)</f>
        <v>2.3379613862210435E-2</v>
      </c>
      <c r="C212">
        <f>IF(OR(Data!C213="",Data!C212=""),"",Data!C213/Data!C212-1)</f>
        <v>2.1393391600627698E-2</v>
      </c>
      <c r="D212">
        <f>IF(OR(Data!D213="",Data!D212=""),"",Data!D213/Data!D212-1)</f>
        <v>5.1685607970741287E-2</v>
      </c>
    </row>
    <row r="213" spans="1:4" x14ac:dyDescent="0.35">
      <c r="A213" t="str">
        <f>Data!A214</f>
        <v>2022-10-26</v>
      </c>
      <c r="B213">
        <f>IF(OR(Data!B214="",Data!B213=""),"",Data!B214/Data!B213-1)</f>
        <v>1.9670994550471832E-2</v>
      </c>
      <c r="C213">
        <f>IF(OR(Data!C214="",Data!C213=""),"",Data!C214/Data!C213-1)</f>
        <v>1.4161332630048262E-2</v>
      </c>
      <c r="D213">
        <f>IF(OR(Data!D214="",Data!D213=""),"",Data!D214/Data!D213-1)</f>
        <v>1.1770287594761175E-3</v>
      </c>
    </row>
    <row r="214" spans="1:4" x14ac:dyDescent="0.35">
      <c r="A214" t="str">
        <f>Data!A215</f>
        <v>2022-10-27</v>
      </c>
      <c r="B214">
        <f>IF(OR(Data!B215="",Data!B214=""),"",Data!B215/Data!B214-1)</f>
        <v>1.3519198131681565E-2</v>
      </c>
      <c r="C214">
        <f>IF(OR(Data!C215="",Data!C214=""),"",Data!C215/Data!C214-1)</f>
        <v>-2.3001179006998496E-2</v>
      </c>
      <c r="D214">
        <f>IF(OR(Data!D215="",Data!D214=""),"",Data!D215/Data!D214-1)</f>
        <v>7.4990219762935961E-3</v>
      </c>
    </row>
    <row r="215" spans="1:4" x14ac:dyDescent="0.35">
      <c r="A215" t="str">
        <f>Data!A216</f>
        <v>2022-10-28</v>
      </c>
      <c r="B215">
        <f>IF(OR(Data!B216="",Data!B215=""),"",Data!B216/Data!B215-1)</f>
        <v>-5.8885302915372417E-3</v>
      </c>
      <c r="C215">
        <f>IF(OR(Data!C216="",Data!C215=""),"",Data!C216/Data!C215-1)</f>
        <v>-1.4451493392922177E-2</v>
      </c>
      <c r="D215">
        <f>IF(OR(Data!D216="",Data!D215=""),"",Data!D216/Data!D215-1)</f>
        <v>-3.6569530545162876E-2</v>
      </c>
    </row>
    <row r="216" spans="1:4" x14ac:dyDescent="0.35">
      <c r="A216" t="str">
        <f>Data!A217</f>
        <v>2022-10-31</v>
      </c>
      <c r="B216">
        <f>IF(OR(Data!B217="",Data!B216=""),"",Data!B217/Data!B216-1)</f>
        <v>1.5701581765649619E-2</v>
      </c>
      <c r="C216">
        <f>IF(OR(Data!C217="",Data!C216=""),"",Data!C217/Data!C216-1)</f>
        <v>1.4503272828136016E-2</v>
      </c>
      <c r="D216">
        <f>IF(OR(Data!D217="",Data!D216=""),"",Data!D217/Data!D216-1)</f>
        <v>-1.7780868647500947E-2</v>
      </c>
    </row>
    <row r="217" spans="1:4" x14ac:dyDescent="0.35">
      <c r="A217" t="str">
        <f>Data!A218</f>
        <v>2022-11-01</v>
      </c>
      <c r="B217">
        <f>IF(OR(Data!B218="",Data!B217=""),"",Data!B218/Data!B217-1)</f>
        <v>-1.4944148801872448E-2</v>
      </c>
      <c r="C217">
        <f>IF(OR(Data!C218="",Data!C217=""),"",Data!C218/Data!C217-1)</f>
        <v>-1.4345850014772177E-2</v>
      </c>
      <c r="D217">
        <f>IF(OR(Data!D218="",Data!D217=""),"",Data!D218/Data!D217-1)</f>
        <v>-1.0648552811015954E-2</v>
      </c>
    </row>
    <row r="218" spans="1:4" x14ac:dyDescent="0.35">
      <c r="A218" t="str">
        <f>Data!A219</f>
        <v>2022-11-02</v>
      </c>
      <c r="B218">
        <f>IF(OR(Data!B219="",Data!B218=""),"",Data!B219/Data!B218-1)</f>
        <v>-4.3266956492021835E-3</v>
      </c>
      <c r="C218">
        <f>IF(OR(Data!C219="",Data!C218=""),"",Data!C219/Data!C218-1)</f>
        <v>-3.0772712154925053E-3</v>
      </c>
      <c r="D218">
        <f>IF(OR(Data!D219="",Data!D218=""),"",Data!D219/Data!D218-1)</f>
        <v>-8.9416898136889245E-3</v>
      </c>
    </row>
    <row r="219" spans="1:4" x14ac:dyDescent="0.35">
      <c r="A219" t="str">
        <f>Data!A220</f>
        <v>2022-11-03</v>
      </c>
      <c r="B219">
        <f>IF(OR(Data!B220="",Data!B219=""),"",Data!B220/Data!B219-1)</f>
        <v>-9.2636500190131921E-3</v>
      </c>
      <c r="C219">
        <f>IF(OR(Data!C220="",Data!C219=""),"",Data!C220/Data!C219-1)</f>
        <v>8.5747680231673673E-3</v>
      </c>
      <c r="D219">
        <f>IF(OR(Data!D220="",Data!D219=""),"",Data!D220/Data!D219-1)</f>
        <v>3.9770131927145957E-2</v>
      </c>
    </row>
    <row r="220" spans="1:4" x14ac:dyDescent="0.35">
      <c r="A220" t="str">
        <f>Data!A221</f>
        <v>2022-11-04</v>
      </c>
      <c r="B220">
        <f>IF(OR(Data!B221="",Data!B220=""),"",Data!B221/Data!B220-1)</f>
        <v>2.0394450740153225E-3</v>
      </c>
      <c r="C220">
        <f>IF(OR(Data!C221="",Data!C220=""),"",Data!C221/Data!C220-1)</f>
        <v>-1.4136956416193502E-2</v>
      </c>
      <c r="D220">
        <f>IF(OR(Data!D221="",Data!D220=""),"",Data!D221/Data!D220-1)</f>
        <v>1.7430781535103579E-2</v>
      </c>
    </row>
    <row r="221" spans="1:4" x14ac:dyDescent="0.35">
      <c r="A221" t="str">
        <f>Data!A222</f>
        <v>2022-11-07</v>
      </c>
      <c r="B221">
        <f>IF(OR(Data!B222="",Data!B221=""),"",Data!B222/Data!B221-1)</f>
        <v>4.7799844236760203E-2</v>
      </c>
      <c r="C221">
        <f>IF(OR(Data!C222="",Data!C221=""),"",Data!C222/Data!C221-1)</f>
        <v>1.8700122841812661E-3</v>
      </c>
      <c r="D221">
        <f>IF(OR(Data!D222="",Data!D221=""),"",Data!D222/Data!D221-1)</f>
        <v>-3.2261896083518149E-2</v>
      </c>
    </row>
    <row r="222" spans="1:4" x14ac:dyDescent="0.35">
      <c r="A222" t="str">
        <f>Data!A223</f>
        <v>2022-11-08</v>
      </c>
      <c r="B222">
        <f>IF(OR(Data!B223="",Data!B222=""),"",Data!B223/Data!B222-1)</f>
        <v>-3.6270851767174039E-2</v>
      </c>
      <c r="C222">
        <f>IF(OR(Data!C223="",Data!C222=""),"",Data!C223/Data!C222-1)</f>
        <v>-1.9529800034546518E-2</v>
      </c>
      <c r="D222">
        <f>IF(OR(Data!D223="",Data!D222=""),"",Data!D223/Data!D222-1)</f>
        <v>7.9769399377458416E-3</v>
      </c>
    </row>
    <row r="223" spans="1:4" x14ac:dyDescent="0.35">
      <c r="A223" t="str">
        <f>Data!A224</f>
        <v>2022-11-09</v>
      </c>
      <c r="B223">
        <f>IF(OR(Data!B224="",Data!B223=""),"",Data!B224/Data!B223-1)</f>
        <v>1.4225089424887649E-2</v>
      </c>
      <c r="C223">
        <f>IF(OR(Data!C224="",Data!C223=""),"",Data!C224/Data!C223-1)</f>
        <v>-8.6948006432194802E-3</v>
      </c>
      <c r="D223">
        <f>IF(OR(Data!D224="",Data!D223=""),"",Data!D224/Data!D223-1)</f>
        <v>1.5617536543175214E-2</v>
      </c>
    </row>
    <row r="224" spans="1:4" x14ac:dyDescent="0.35">
      <c r="A224" t="str">
        <f>Data!A225</f>
        <v>2022-11-10</v>
      </c>
      <c r="B224">
        <f>IF(OR(Data!B225="",Data!B224=""),"",Data!B225/Data!B224-1)</f>
        <v>-3.1352329037771631E-2</v>
      </c>
      <c r="C224">
        <f>IF(OR(Data!C225="",Data!C224=""),"",Data!C225/Data!C224-1)</f>
        <v>5.09711410890068E-3</v>
      </c>
      <c r="D224">
        <f>IF(OR(Data!D225="",Data!D224=""),"",Data!D225/Data!D224-1)</f>
        <v>3.5365297673016105E-2</v>
      </c>
    </row>
    <row r="225" spans="1:4" x14ac:dyDescent="0.35">
      <c r="A225" t="str">
        <f>Data!A226</f>
        <v>2022-11-11</v>
      </c>
      <c r="B225">
        <f>IF(OR(Data!B226="",Data!B225=""),"",Data!B226/Data!B225-1)</f>
        <v>-8.9978961192848095E-3</v>
      </c>
      <c r="C225">
        <f>IF(OR(Data!C226="",Data!C225=""),"",Data!C226/Data!C225-1)</f>
        <v>-2.3330924043412304E-2</v>
      </c>
      <c r="D225">
        <f>IF(OR(Data!D226="",Data!D225=""),"",Data!D226/Data!D225-1)</f>
        <v>4.9135183007620986E-2</v>
      </c>
    </row>
    <row r="226" spans="1:4" x14ac:dyDescent="0.35">
      <c r="A226" t="str">
        <f>Data!A227</f>
        <v>2022-11-14</v>
      </c>
      <c r="B226">
        <f>IF(OR(Data!B227="",Data!B226=""),"",Data!B227/Data!B226-1)</f>
        <v>2.2427363715868287E-2</v>
      </c>
      <c r="C226">
        <f>IF(OR(Data!C227="",Data!C226=""),"",Data!C227/Data!C226-1)</f>
        <v>6.9185575657306764E-3</v>
      </c>
      <c r="D226">
        <f>IF(OR(Data!D227="",Data!D226=""),"",Data!D227/Data!D226-1)</f>
        <v>-2.9460432114760682E-2</v>
      </c>
    </row>
    <row r="227" spans="1:4" x14ac:dyDescent="0.35">
      <c r="A227" t="str">
        <f>Data!A228</f>
        <v>2022-11-15</v>
      </c>
      <c r="B227">
        <f>IF(OR(Data!B228="",Data!B227=""),"",Data!B228/Data!B227-1)</f>
        <v>1.6871999992760234E-3</v>
      </c>
      <c r="C227">
        <f>IF(OR(Data!C228="",Data!C227=""),"",Data!C228/Data!C227-1)</f>
        <v>-7.1727538640820043E-6</v>
      </c>
      <c r="D227">
        <f>IF(OR(Data!D228="",Data!D227=""),"",Data!D228/Data!D227-1)</f>
        <v>-2.3494992378379931E-2</v>
      </c>
    </row>
    <row r="228" spans="1:4" x14ac:dyDescent="0.35">
      <c r="A228" t="str">
        <f>Data!A229</f>
        <v>2022-11-16</v>
      </c>
      <c r="B228">
        <f>IF(OR(Data!B229="",Data!B228=""),"",Data!B229/Data!B228-1)</f>
        <v>-2.0933391044889449E-2</v>
      </c>
      <c r="C228">
        <f>IF(OR(Data!C229="",Data!C228=""),"",Data!C229/Data!C228-1)</f>
        <v>8.6116700586067463E-3</v>
      </c>
      <c r="D228">
        <f>IF(OR(Data!D229="",Data!D228=""),"",Data!D229/Data!D228-1)</f>
        <v>-3.6494803415505372E-2</v>
      </c>
    </row>
    <row r="229" spans="1:4" x14ac:dyDescent="0.35">
      <c r="A229" t="str">
        <f>Data!A230</f>
        <v>2022-11-17</v>
      </c>
      <c r="B229">
        <f>IF(OR(Data!B230="",Data!B229=""),"",Data!B230/Data!B229-1)</f>
        <v>-1.3809118152778854E-2</v>
      </c>
      <c r="C229">
        <f>IF(OR(Data!C230="",Data!C229=""),"",Data!C230/Data!C229-1)</f>
        <v>3.6529727992202776E-3</v>
      </c>
      <c r="D229">
        <f>IF(OR(Data!D230="",Data!D229=""),"",Data!D230/Data!D229-1)</f>
        <v>-6.4498959342778051E-3</v>
      </c>
    </row>
    <row r="230" spans="1:4" x14ac:dyDescent="0.35">
      <c r="A230" t="str">
        <f>Data!A231</f>
        <v>2022-11-18</v>
      </c>
      <c r="B230">
        <f>IF(OR(Data!B231="",Data!B230=""),"",Data!B231/Data!B230-1)</f>
        <v>1.4089515921480444E-2</v>
      </c>
      <c r="C230">
        <f>IF(OR(Data!C231="",Data!C230=""),"",Data!C231/Data!C230-1)</f>
        <v>2.0966524417722621E-2</v>
      </c>
      <c r="D230">
        <f>IF(OR(Data!D231="",Data!D230=""),"",Data!D231/Data!D230-1)</f>
        <v>1.4647072491313029E-2</v>
      </c>
    </row>
    <row r="231" spans="1:4" x14ac:dyDescent="0.35">
      <c r="A231" t="str">
        <f>Data!A232</f>
        <v>2022-11-21</v>
      </c>
      <c r="B231">
        <f>IF(OR(Data!B232="",Data!B231=""),"",Data!B232/Data!B231-1)</f>
        <v>-1.4106018937226628E-2</v>
      </c>
      <c r="C231">
        <f>IF(OR(Data!C232="",Data!C231=""),"",Data!C232/Data!C231-1)</f>
        <v>2.1681084479887591E-3</v>
      </c>
      <c r="D231">
        <f>IF(OR(Data!D232="",Data!D231=""),"",Data!D232/Data!D231-1)</f>
        <v>3.0629662621375564E-2</v>
      </c>
    </row>
    <row r="232" spans="1:4" x14ac:dyDescent="0.35">
      <c r="A232" t="str">
        <f>Data!A233</f>
        <v>2022-11-22</v>
      </c>
      <c r="B232">
        <f>IF(OR(Data!B233="",Data!B232=""),"",Data!B233/Data!B232-1)</f>
        <v>4.7402636912088347E-3</v>
      </c>
      <c r="C232">
        <f>IF(OR(Data!C233="",Data!C232=""),"",Data!C233/Data!C232-1)</f>
        <v>-6.1347625618820567E-3</v>
      </c>
      <c r="D232">
        <f>IF(OR(Data!D233="",Data!D232=""),"",Data!D233/Data!D232-1)</f>
        <v>-1.7271096802026209E-3</v>
      </c>
    </row>
    <row r="233" spans="1:4" x14ac:dyDescent="0.35">
      <c r="A233" t="str">
        <f>Data!A234</f>
        <v>2022-11-23</v>
      </c>
      <c r="B233">
        <f>IF(OR(Data!B234="",Data!B233=""),"",Data!B234/Data!B233-1)</f>
        <v>1.3117698738260852E-3</v>
      </c>
      <c r="C233">
        <f>IF(OR(Data!C234="",Data!C233=""),"",Data!C234/Data!C233-1)</f>
        <v>2.1242803901466711E-3</v>
      </c>
      <c r="D233">
        <f>IF(OR(Data!D234="",Data!D233=""),"",Data!D234/Data!D233-1)</f>
        <v>-9.004611093132775E-3</v>
      </c>
    </row>
    <row r="234" spans="1:4" x14ac:dyDescent="0.35">
      <c r="A234" t="str">
        <f>Data!A235</f>
        <v>2022-11-24</v>
      </c>
      <c r="B234">
        <f>IF(OR(Data!B235="",Data!B234=""),"",Data!B235/Data!B234-1)</f>
        <v>-1.2552488120680994E-2</v>
      </c>
      <c r="C234">
        <f>IF(OR(Data!C235="",Data!C234=""),"",Data!C235/Data!C234-1)</f>
        <v>8.4726199669773461E-3</v>
      </c>
      <c r="D234">
        <f>IF(OR(Data!D235="",Data!D234=""),"",Data!D235/Data!D234-1)</f>
        <v>5.1158175466081701E-3</v>
      </c>
    </row>
    <row r="235" spans="1:4" x14ac:dyDescent="0.35">
      <c r="A235" t="str">
        <f>Data!A236</f>
        <v>2022-11-25</v>
      </c>
      <c r="B235">
        <f>IF(OR(Data!B236="",Data!B235=""),"",Data!B236/Data!B235-1)</f>
        <v>4.4228833969674142E-2</v>
      </c>
      <c r="C235">
        <f>IF(OR(Data!C236="",Data!C235=""),"",Data!C236/Data!C235-1)</f>
        <v>1.0208771913697845E-3</v>
      </c>
      <c r="D235">
        <f>IF(OR(Data!D236="",Data!D235=""),"",Data!D236/Data!D235-1)</f>
        <v>-2.4206579955630247E-2</v>
      </c>
    </row>
    <row r="236" spans="1:4" x14ac:dyDescent="0.35">
      <c r="A236" t="str">
        <f>Data!A237</f>
        <v>2022-11-28</v>
      </c>
      <c r="B236">
        <f>IF(OR(Data!B237="",Data!B236=""),"",Data!B237/Data!B236-1)</f>
        <v>1.3164413042595413E-2</v>
      </c>
      <c r="C236">
        <f>IF(OR(Data!C237="",Data!C236=""),"",Data!C237/Data!C236-1)</f>
        <v>8.9677615172378822E-4</v>
      </c>
      <c r="D236">
        <f>IF(OR(Data!D237="",Data!D236=""),"",Data!D237/Data!D236-1)</f>
        <v>6.5278741233694815E-2</v>
      </c>
    </row>
    <row r="237" spans="1:4" x14ac:dyDescent="0.35">
      <c r="A237" t="str">
        <f>Data!A238</f>
        <v>2022-11-29</v>
      </c>
      <c r="B237">
        <f>IF(OR(Data!B238="",Data!B237=""),"",Data!B238/Data!B237-1)</f>
        <v>-3.9309621269607242E-2</v>
      </c>
      <c r="C237">
        <f>IF(OR(Data!C238="",Data!C237=""),"",Data!C238/Data!C237-1)</f>
        <v>-1.0190140722301733E-2</v>
      </c>
      <c r="D237">
        <f>IF(OR(Data!D238="",Data!D237=""),"",Data!D238/Data!D237-1)</f>
        <v>-4.6561305606331649E-2</v>
      </c>
    </row>
    <row r="238" spans="1:4" x14ac:dyDescent="0.35">
      <c r="A238" t="str">
        <f>Data!A239</f>
        <v>2022-11-30</v>
      </c>
      <c r="B238">
        <f>IF(OR(Data!B239="",Data!B238=""),"",Data!B239/Data!B238-1)</f>
        <v>4.1384412427563078E-3</v>
      </c>
      <c r="C238">
        <f>IF(OR(Data!C239="",Data!C238=""),"",Data!C239/Data!C238-1)</f>
        <v>-9.6095464190267821E-3</v>
      </c>
      <c r="D238">
        <f>IF(OR(Data!D239="",Data!D238=""),"",Data!D239/Data!D238-1)</f>
        <v>6.1108515875243352E-3</v>
      </c>
    </row>
    <row r="239" spans="1:4" x14ac:dyDescent="0.35">
      <c r="A239" t="str">
        <f>Data!A240</f>
        <v>2022-12-01</v>
      </c>
      <c r="B239">
        <f>IF(OR(Data!B240="",Data!B239=""),"",Data!B240/Data!B239-1)</f>
        <v>-1.2753766626566909E-2</v>
      </c>
      <c r="C239">
        <f>IF(OR(Data!C240="",Data!C239=""),"",Data!C240/Data!C239-1)</f>
        <v>-2.0537633452498705E-2</v>
      </c>
      <c r="D239">
        <f>IF(OR(Data!D240="",Data!D239=""),"",Data!D240/Data!D239-1)</f>
        <v>6.3173701997670362E-2</v>
      </c>
    </row>
    <row r="240" spans="1:4" x14ac:dyDescent="0.35">
      <c r="A240" t="str">
        <f>Data!A241</f>
        <v>2022-12-02</v>
      </c>
      <c r="B240">
        <f>IF(OR(Data!B241="",Data!B240=""),"",Data!B241/Data!B240-1)</f>
        <v>1.7601889804426563E-2</v>
      </c>
      <c r="C240">
        <f>IF(OR(Data!C241="",Data!C240=""),"",Data!C241/Data!C240-1)</f>
        <v>2.6886308341822263E-2</v>
      </c>
      <c r="D240">
        <f>IF(OR(Data!D241="",Data!D240=""),"",Data!D241/Data!D240-1)</f>
        <v>7.540695837602307E-4</v>
      </c>
    </row>
    <row r="241" spans="1:4" x14ac:dyDescent="0.35">
      <c r="A241" t="str">
        <f>Data!A242</f>
        <v>2022-12-05</v>
      </c>
      <c r="B241">
        <f>IF(OR(Data!B242="",Data!B241=""),"",Data!B242/Data!B241-1)</f>
        <v>-1.5331680970905426E-2</v>
      </c>
      <c r="C241">
        <f>IF(OR(Data!C242="",Data!C241=""),"",Data!C242/Data!C241-1)</f>
        <v>-1.8203094647065599E-2</v>
      </c>
      <c r="D241">
        <f>IF(OR(Data!D242="",Data!D241=""),"",Data!D242/Data!D241-1)</f>
        <v>-5.1377246245865038E-3</v>
      </c>
    </row>
    <row r="242" spans="1:4" x14ac:dyDescent="0.35">
      <c r="A242" t="str">
        <f>Data!A243</f>
        <v>2022-12-06</v>
      </c>
      <c r="B242">
        <f>IF(OR(Data!B243="",Data!B242=""),"",Data!B243/Data!B242-1)</f>
        <v>-1.8936848550010765E-3</v>
      </c>
      <c r="C242">
        <f>IF(OR(Data!C243="",Data!C242=""),"",Data!C243/Data!C242-1)</f>
        <v>-1.0055102359017742E-2</v>
      </c>
      <c r="D242">
        <f>IF(OR(Data!D243="",Data!D242=""),"",Data!D243/Data!D242-1)</f>
        <v>-1.0122039175088915E-2</v>
      </c>
    </row>
    <row r="243" spans="1:4" x14ac:dyDescent="0.35">
      <c r="A243" t="str">
        <f>Data!A244</f>
        <v>2022-12-07</v>
      </c>
      <c r="B243">
        <f>IF(OR(Data!B244="",Data!B243=""),"",Data!B244/Data!B243-1)</f>
        <v>1.055518515990328E-2</v>
      </c>
      <c r="C243">
        <f>IF(OR(Data!C244="",Data!C243=""),"",Data!C244/Data!C243-1)</f>
        <v>-1.0433462143872085E-2</v>
      </c>
      <c r="D243">
        <f>IF(OR(Data!D244="",Data!D243=""),"",Data!D244/Data!D243-1)</f>
        <v>-4.8498754248628151E-3</v>
      </c>
    </row>
    <row r="244" spans="1:4" x14ac:dyDescent="0.35">
      <c r="A244" t="str">
        <f>Data!A245</f>
        <v>2022-12-08</v>
      </c>
      <c r="B244">
        <f>IF(OR(Data!B245="",Data!B244=""),"",Data!B245/Data!B244-1)</f>
        <v>1.7873352363944273E-2</v>
      </c>
      <c r="C244">
        <f>IF(OR(Data!C245="",Data!C244=""),"",Data!C245/Data!C244-1)</f>
        <v>1.3805584931656734E-2</v>
      </c>
      <c r="D244">
        <f>IF(OR(Data!D245="",Data!D244=""),"",Data!D245/Data!D244-1)</f>
        <v>4.2618472786140726E-2</v>
      </c>
    </row>
    <row r="245" spans="1:4" x14ac:dyDescent="0.35">
      <c r="A245" t="str">
        <f>Data!A246</f>
        <v>2022-12-09</v>
      </c>
      <c r="B245">
        <f>IF(OR(Data!B246="",Data!B245=""),"",Data!B246/Data!B245-1)</f>
        <v>-2.3329342536710262E-2</v>
      </c>
      <c r="C245">
        <f>IF(OR(Data!C246="",Data!C245=""),"",Data!C246/Data!C245-1)</f>
        <v>-4.1281752854435139E-3</v>
      </c>
      <c r="D245">
        <f>IF(OR(Data!D246="",Data!D245=""),"",Data!D246/Data!D245-1)</f>
        <v>-6.3687393055299468E-2</v>
      </c>
    </row>
    <row r="246" spans="1:4" x14ac:dyDescent="0.35">
      <c r="A246" t="str">
        <f>Data!A247</f>
        <v>2022-12-12</v>
      </c>
      <c r="B246">
        <f>IF(OR(Data!B247="",Data!B246=""),"",Data!B247/Data!B246-1)</f>
        <v>-6.2706633108954302E-3</v>
      </c>
      <c r="C246">
        <f>IF(OR(Data!C247="",Data!C246=""),"",Data!C247/Data!C246-1)</f>
        <v>1.9185432507182743E-2</v>
      </c>
      <c r="D246">
        <f>IF(OR(Data!D247="",Data!D246=""),"",Data!D247/Data!D246-1)</f>
        <v>4.7653631063811153E-2</v>
      </c>
    </row>
    <row r="247" spans="1:4" x14ac:dyDescent="0.35">
      <c r="A247" t="str">
        <f>Data!A248</f>
        <v>2022-12-13</v>
      </c>
      <c r="B247">
        <f>IF(OR(Data!B248="",Data!B247=""),"",Data!B248/Data!B247-1)</f>
        <v>-9.0574365113039734E-3</v>
      </c>
      <c r="C247">
        <f>IF(OR(Data!C248="",Data!C247=""),"",Data!C248/Data!C247-1)</f>
        <v>-9.766867404455315E-3</v>
      </c>
      <c r="D247">
        <f>IF(OR(Data!D248="",Data!D247=""),"",Data!D248/Data!D247-1)</f>
        <v>-4.1291803216758072E-2</v>
      </c>
    </row>
    <row r="248" spans="1:4" x14ac:dyDescent="0.35">
      <c r="A248" t="str">
        <f>Data!A249</f>
        <v>2022-12-14</v>
      </c>
      <c r="B248">
        <f>IF(OR(Data!B249="",Data!B248=""),"",Data!B249/Data!B248-1)</f>
        <v>-1.2586475304855238E-2</v>
      </c>
      <c r="C248">
        <f>IF(OR(Data!C249="",Data!C248=""),"",Data!C249/Data!C248-1)</f>
        <v>4.4824526294349187E-3</v>
      </c>
      <c r="D248">
        <f>IF(OR(Data!D249="",Data!D248=""),"",Data!D249/Data!D248-1)</f>
        <v>-7.4218630708624556E-3</v>
      </c>
    </row>
    <row r="249" spans="1:4" x14ac:dyDescent="0.35">
      <c r="A249" t="str">
        <f>Data!A250</f>
        <v>2022-12-15</v>
      </c>
      <c r="B249">
        <f>IF(OR(Data!B250="",Data!B249=""),"",Data!B250/Data!B249-1)</f>
        <v>3.6353976709791347E-2</v>
      </c>
      <c r="C249">
        <f>IF(OR(Data!C250="",Data!C249=""),"",Data!C250/Data!C249-1)</f>
        <v>-1.2168341326133647E-2</v>
      </c>
      <c r="D249">
        <f>IF(OR(Data!D250="",Data!D249=""),"",Data!D250/Data!D249-1)</f>
        <v>-1.2251693422325793E-2</v>
      </c>
    </row>
    <row r="250" spans="1:4" x14ac:dyDescent="0.35">
      <c r="A250" t="str">
        <f>Data!A251</f>
        <v>2022-12-16</v>
      </c>
      <c r="B250">
        <f>IF(OR(Data!B251="",Data!B250=""),"",Data!B251/Data!B250-1)</f>
        <v>8.5357585565413174E-3</v>
      </c>
      <c r="C250">
        <f>IF(OR(Data!C251="",Data!C250=""),"",Data!C251/Data!C250-1)</f>
        <v>3.2997593197793273E-2</v>
      </c>
      <c r="D250">
        <f>IF(OR(Data!D251="",Data!D250=""),"",Data!D251/Data!D250-1)</f>
        <v>1.837363304279771E-2</v>
      </c>
    </row>
    <row r="251" spans="1:4" x14ac:dyDescent="0.35">
      <c r="A251" t="str">
        <f>Data!A252</f>
        <v>2022-12-19</v>
      </c>
      <c r="B251">
        <f>IF(OR(Data!B252="",Data!B251=""),"",Data!B252/Data!B251-1)</f>
        <v>-2.4512232761802588E-2</v>
      </c>
      <c r="C251">
        <f>IF(OR(Data!C252="",Data!C251=""),"",Data!C252/Data!C251-1)</f>
        <v>-1.737388784513394E-2</v>
      </c>
      <c r="D251">
        <f>IF(OR(Data!D252="",Data!D251=""),"",Data!D252/Data!D251-1)</f>
        <v>-4.6288343603680837E-2</v>
      </c>
    </row>
    <row r="252" spans="1:4" x14ac:dyDescent="0.35">
      <c r="A252" t="str">
        <f>Data!A253</f>
        <v>2022-12-20</v>
      </c>
      <c r="B252">
        <f>IF(OR(Data!B253="",Data!B252=""),"",Data!B253/Data!B252-1)</f>
        <v>1.8934390136503776E-2</v>
      </c>
      <c r="C252">
        <f>IF(OR(Data!C253="",Data!C252=""),"",Data!C253/Data!C252-1)</f>
        <v>4.9472886312769138E-3</v>
      </c>
      <c r="D252">
        <f>IF(OR(Data!D253="",Data!D252=""),"",Data!D253/Data!D252-1)</f>
        <v>1.4519412064421422E-2</v>
      </c>
    </row>
    <row r="253" spans="1:4" x14ac:dyDescent="0.35">
      <c r="A253" t="str">
        <f>Data!A254</f>
        <v>2022-12-21</v>
      </c>
      <c r="B253">
        <f>IF(OR(Data!B254="",Data!B253=""),"",Data!B254/Data!B253-1)</f>
        <v>4.377360020492671E-2</v>
      </c>
      <c r="C253">
        <f>IF(OR(Data!C254="",Data!C253=""),"",Data!C254/Data!C253-1)</f>
        <v>9.8421143236957498E-3</v>
      </c>
      <c r="D253">
        <f>IF(OR(Data!D254="",Data!D253=""),"",Data!D254/Data!D253-1)</f>
        <v>6.3196167389156122E-2</v>
      </c>
    </row>
    <row r="254" spans="1:4" x14ac:dyDescent="0.35">
      <c r="A254" t="str">
        <f>Data!A255</f>
        <v>2022-12-22</v>
      </c>
      <c r="B254">
        <f>IF(OR(Data!B255="",Data!B254=""),"",Data!B255/Data!B254-1)</f>
        <v>2.1272595014707241E-2</v>
      </c>
      <c r="C254">
        <f>IF(OR(Data!C255="",Data!C254=""),"",Data!C255/Data!C254-1)</f>
        <v>6.5155763941693312E-3</v>
      </c>
      <c r="D254">
        <f>IF(OR(Data!D255="",Data!D254=""),"",Data!D255/Data!D254-1)</f>
        <v>-3.9542609193566669E-2</v>
      </c>
    </row>
    <row r="255" spans="1:4" x14ac:dyDescent="0.35">
      <c r="A255" t="str">
        <f>Data!A256</f>
        <v>2022-12-23</v>
      </c>
      <c r="B255">
        <f>IF(OR(Data!B256="",Data!B255=""),"",Data!B256/Data!B255-1)</f>
        <v>-2.9541806375656954E-2</v>
      </c>
      <c r="C255">
        <f>IF(OR(Data!C256="",Data!C255=""),"",Data!C256/Data!C255-1)</f>
        <v>-2.4888456518808999E-3</v>
      </c>
      <c r="D255">
        <f>IF(OR(Data!D256="",Data!D255=""),"",Data!D256/Data!D255-1)</f>
        <v>6.260847508742895E-3</v>
      </c>
    </row>
    <row r="256" spans="1:4" x14ac:dyDescent="0.35">
      <c r="A256" t="str">
        <f>Data!A257</f>
        <v>2022-12-26</v>
      </c>
      <c r="B256">
        <f>IF(OR(Data!B257="",Data!B256=""),"",Data!B257/Data!B256-1)</f>
        <v>-9.2420635026672082E-3</v>
      </c>
      <c r="C256">
        <f>IF(OR(Data!C257="",Data!C256=""),"",Data!C257/Data!C256-1)</f>
        <v>-1.6581269734788906E-3</v>
      </c>
      <c r="D256">
        <f>IF(OR(Data!D257="",Data!D256=""),"",Data!D257/Data!D256-1)</f>
        <v>-1.9124171402513768E-2</v>
      </c>
    </row>
    <row r="257" spans="1:4" x14ac:dyDescent="0.35">
      <c r="A257" t="str">
        <f>Data!A258</f>
        <v>2022-12-27</v>
      </c>
      <c r="B257">
        <f>IF(OR(Data!B258="",Data!B257=""),"",Data!B258/Data!B257-1)</f>
        <v>2.6072603403526129E-2</v>
      </c>
      <c r="C257">
        <f>IF(OR(Data!C258="",Data!C257=""),"",Data!C258/Data!C257-1)</f>
        <v>9.4490407532177301E-4</v>
      </c>
      <c r="D257">
        <f>IF(OR(Data!D258="",Data!D257=""),"",Data!D258/Data!D257-1)</f>
        <v>1.3415879099254235E-2</v>
      </c>
    </row>
    <row r="258" spans="1:4" x14ac:dyDescent="0.35">
      <c r="A258" t="str">
        <f>Data!A259</f>
        <v>2022-12-28</v>
      </c>
      <c r="B258">
        <f>IF(OR(Data!B259="",Data!B258=""),"",Data!B259/Data!B258-1)</f>
        <v>-1.3659646128423408E-2</v>
      </c>
      <c r="C258">
        <f>IF(OR(Data!C259="",Data!C258=""),"",Data!C259/Data!C258-1)</f>
        <v>-1.9153398489766271E-3</v>
      </c>
      <c r="D258">
        <f>IF(OR(Data!D259="",Data!D258=""),"",Data!D259/Data!D258-1)</f>
        <v>1.1251536229046621E-3</v>
      </c>
    </row>
    <row r="259" spans="1:4" x14ac:dyDescent="0.35">
      <c r="A259" t="str">
        <f>Data!A260</f>
        <v>2022-12-29</v>
      </c>
      <c r="B259">
        <f>IF(OR(Data!B260="",Data!B259=""),"",Data!B260/Data!B259-1)</f>
        <v>9.3201910230535923E-3</v>
      </c>
      <c r="C259">
        <f>IF(OR(Data!C260="",Data!C259=""),"",Data!C260/Data!C259-1)</f>
        <v>1.4854858513781322E-2</v>
      </c>
      <c r="D259">
        <f>IF(OR(Data!D260="",Data!D259=""),"",Data!D260/Data!D259-1)</f>
        <v>-1.8521233226429179E-2</v>
      </c>
    </row>
    <row r="260" spans="1:4" x14ac:dyDescent="0.35">
      <c r="A260" t="str">
        <f>Data!A261</f>
        <v>2022-12-30</v>
      </c>
      <c r="B260">
        <f>IF(OR(Data!B261="",Data!B260=""),"",Data!B261/Data!B260-1)</f>
        <v>1.6018904789565358E-2</v>
      </c>
      <c r="C260">
        <f>IF(OR(Data!C261="",Data!C260=""),"",Data!C261/Data!C260-1)</f>
        <v>3.4010614233274561E-2</v>
      </c>
      <c r="D260">
        <f>IF(OR(Data!D261="",Data!D260=""),"",Data!D261/Data!D260-1)</f>
        <v>1.5302345926190508E-2</v>
      </c>
    </row>
    <row r="261" spans="1:4" x14ac:dyDescent="0.35">
      <c r="A261" t="str">
        <f>Data!A262</f>
        <v>2023-01-02</v>
      </c>
      <c r="B261">
        <f>IF(OR(Data!B262="",Data!B261=""),"",Data!B262/Data!B261-1)</f>
        <v>-1.7974378497965682E-2</v>
      </c>
      <c r="C261">
        <f>IF(OR(Data!C262="",Data!C261=""),"",Data!C262/Data!C261-1)</f>
        <v>-8.0420789081196986E-3</v>
      </c>
      <c r="D261">
        <f>IF(OR(Data!D262="",Data!D261=""),"",Data!D262/Data!D261-1)</f>
        <v>5.6202814894281472E-2</v>
      </c>
    </row>
    <row r="262" spans="1:4" x14ac:dyDescent="0.35">
      <c r="A262" t="str">
        <f>Data!A263</f>
        <v>2023-01-03</v>
      </c>
      <c r="B262">
        <f>IF(OR(Data!B263="",Data!B262=""),"",Data!B263/Data!B262-1)</f>
        <v>-7.9035275666383686E-4</v>
      </c>
      <c r="C262">
        <f>IF(OR(Data!C263="",Data!C262=""),"",Data!C263/Data!C262-1)</f>
        <v>-2.0055854793579186E-2</v>
      </c>
      <c r="D262">
        <f>IF(OR(Data!D263="",Data!D262=""),"",Data!D263/Data!D262-1)</f>
        <v>-5.1638357161197801E-3</v>
      </c>
    </row>
    <row r="263" spans="1:4" x14ac:dyDescent="0.35">
      <c r="A263" t="str">
        <f>Data!A264</f>
        <v>2023-01-04</v>
      </c>
      <c r="B263">
        <f>IF(OR(Data!B264="",Data!B263=""),"",Data!B264/Data!B263-1)</f>
        <v>-6.2393679239036937E-2</v>
      </c>
      <c r="C263">
        <f>IF(OR(Data!C264="",Data!C263=""),"",Data!C264/Data!C263-1)</f>
        <v>-1.0363674479667573E-3</v>
      </c>
      <c r="D263">
        <f>IF(OR(Data!D264="",Data!D263=""),"",Data!D264/Data!D263-1)</f>
        <v>2.2389751296945537E-2</v>
      </c>
    </row>
    <row r="264" spans="1:4" x14ac:dyDescent="0.35">
      <c r="A264" t="str">
        <f>Data!A265</f>
        <v>2023-01-05</v>
      </c>
      <c r="B264">
        <f>IF(OR(Data!B265="",Data!B264=""),"",Data!B265/Data!B264-1)</f>
        <v>-1.9888013994955323E-2</v>
      </c>
      <c r="C264">
        <f>IF(OR(Data!C265="",Data!C264=""),"",Data!C265/Data!C264-1)</f>
        <v>3.9753308071749593E-2</v>
      </c>
      <c r="D264">
        <f>IF(OR(Data!D265="",Data!D264=""),"",Data!D265/Data!D264-1)</f>
        <v>-3.7525774924532573E-2</v>
      </c>
    </row>
    <row r="265" spans="1:4" x14ac:dyDescent="0.35">
      <c r="A265" t="str">
        <f>Data!A266</f>
        <v>2023-01-06</v>
      </c>
      <c r="B265">
        <f>IF(OR(Data!B266="",Data!B265=""),"",Data!B266/Data!B265-1)</f>
        <v>-4.6398853381544036E-3</v>
      </c>
      <c r="C265">
        <f>IF(OR(Data!C266="",Data!C265=""),"",Data!C266/Data!C265-1)</f>
        <v>-1.1698822631120875E-2</v>
      </c>
      <c r="D265">
        <f>IF(OR(Data!D266="",Data!D265=""),"",Data!D266/Data!D265-1)</f>
        <v>-2.7750878950437596E-2</v>
      </c>
    </row>
    <row r="266" spans="1:4" x14ac:dyDescent="0.35">
      <c r="A266" t="str">
        <f>Data!A267</f>
        <v>2023-01-09</v>
      </c>
      <c r="B266">
        <f>IF(OR(Data!B267="",Data!B266=""),"",Data!B267/Data!B266-1)</f>
        <v>-2.4257246097067586E-2</v>
      </c>
      <c r="C266">
        <f>IF(OR(Data!C267="",Data!C266=""),"",Data!C267/Data!C266-1)</f>
        <v>2.5186113836769053E-2</v>
      </c>
      <c r="D266">
        <f>IF(OR(Data!D267="",Data!D266=""),"",Data!D267/Data!D266-1)</f>
        <v>1.4830956660416561E-2</v>
      </c>
    </row>
    <row r="267" spans="1:4" x14ac:dyDescent="0.35">
      <c r="A267" t="str">
        <f>Data!A268</f>
        <v>2023-01-10</v>
      </c>
      <c r="B267">
        <f>IF(OR(Data!B268="",Data!B267=""),"",Data!B268/Data!B267-1)</f>
        <v>3.3601052412933541E-2</v>
      </c>
      <c r="C267">
        <f>IF(OR(Data!C268="",Data!C267=""),"",Data!C268/Data!C267-1)</f>
        <v>2.5779866900526249E-2</v>
      </c>
      <c r="D267">
        <f>IF(OR(Data!D268="",Data!D267=""),"",Data!D268/Data!D267-1)</f>
        <v>4.6104715580500111E-2</v>
      </c>
    </row>
    <row r="268" spans="1:4" x14ac:dyDescent="0.35">
      <c r="A268" t="str">
        <f>Data!A269</f>
        <v>2023-01-11</v>
      </c>
      <c r="B268">
        <f>IF(OR(Data!B269="",Data!B268=""),"",Data!B269/Data!B268-1)</f>
        <v>-2.7809118060519666E-2</v>
      </c>
      <c r="C268">
        <f>IF(OR(Data!C269="",Data!C268=""),"",Data!C269/Data!C268-1)</f>
        <v>-7.9844338503936019E-3</v>
      </c>
      <c r="D268">
        <f>IF(OR(Data!D269="",Data!D268=""),"",Data!D269/Data!D268-1)</f>
        <v>1.1281687255050299E-2</v>
      </c>
    </row>
    <row r="269" spans="1:4" x14ac:dyDescent="0.35">
      <c r="A269" t="str">
        <f>Data!A270</f>
        <v>2023-01-12</v>
      </c>
      <c r="B269">
        <f>IF(OR(Data!B270="",Data!B269=""),"",Data!B270/Data!B269-1)</f>
        <v>-8.3658079712891631E-3</v>
      </c>
      <c r="C269">
        <f>IF(OR(Data!C270="",Data!C269=""),"",Data!C270/Data!C269-1)</f>
        <v>8.8614663374262381E-3</v>
      </c>
      <c r="D269">
        <f>IF(OR(Data!D270="",Data!D269=""),"",Data!D270/Data!D269-1)</f>
        <v>-8.8029156673539166E-3</v>
      </c>
    </row>
    <row r="270" spans="1:4" x14ac:dyDescent="0.35">
      <c r="A270" t="str">
        <f>Data!A271</f>
        <v>2023-01-13</v>
      </c>
      <c r="B270">
        <f>IF(OR(Data!B271="",Data!B270=""),"",Data!B271/Data!B270-1)</f>
        <v>3.0195886133119743E-3</v>
      </c>
      <c r="C270">
        <f>IF(OR(Data!C271="",Data!C270=""),"",Data!C271/Data!C270-1)</f>
        <v>2.5021224581537771E-2</v>
      </c>
      <c r="D270">
        <f>IF(OR(Data!D271="",Data!D270=""),"",Data!D271/Data!D270-1)</f>
        <v>5.2902083902428565E-4</v>
      </c>
    </row>
    <row r="271" spans="1:4" x14ac:dyDescent="0.35">
      <c r="A271" t="str">
        <f>Data!A272</f>
        <v>2023-01-16</v>
      </c>
      <c r="B271">
        <f>IF(OR(Data!B272="",Data!B271=""),"",Data!B272/Data!B271-1)</f>
        <v>2.9656672578142196E-2</v>
      </c>
      <c r="C271">
        <f>IF(OR(Data!C272="",Data!C271=""),"",Data!C272/Data!C271-1)</f>
        <v>-5.3847114110053829E-3</v>
      </c>
      <c r="D271">
        <f>IF(OR(Data!D272="",Data!D271=""),"",Data!D272/Data!D271-1)</f>
        <v>-3.6287255562417409E-2</v>
      </c>
    </row>
    <row r="272" spans="1:4" x14ac:dyDescent="0.35">
      <c r="A272" t="str">
        <f>Data!A273</f>
        <v>2023-01-17</v>
      </c>
      <c r="B272">
        <f>IF(OR(Data!B273="",Data!B272=""),"",Data!B273/Data!B272-1)</f>
        <v>-2.7920160010610928E-2</v>
      </c>
      <c r="C272">
        <f>IF(OR(Data!C273="",Data!C272=""),"",Data!C273/Data!C272-1)</f>
        <v>-2.7624617328244616E-3</v>
      </c>
      <c r="D272">
        <f>IF(OR(Data!D273="",Data!D272=""),"",Data!D273/Data!D272-1)</f>
        <v>1.8860757835728048E-2</v>
      </c>
    </row>
    <row r="273" spans="1:4" x14ac:dyDescent="0.35">
      <c r="A273" t="str">
        <f>Data!A274</f>
        <v>2023-01-18</v>
      </c>
      <c r="B273">
        <f>IF(OR(Data!B274="",Data!B273=""),"",Data!B274/Data!B273-1)</f>
        <v>2.3945452855597571E-2</v>
      </c>
      <c r="C273">
        <f>IF(OR(Data!C274="",Data!C273=""),"",Data!C274/Data!C273-1)</f>
        <v>-8.4022515301660494E-3</v>
      </c>
      <c r="D273">
        <f>IF(OR(Data!D274="",Data!D273=""),"",Data!D274/Data!D273-1)</f>
        <v>2.7388429193311525E-2</v>
      </c>
    </row>
    <row r="274" spans="1:4" x14ac:dyDescent="0.35">
      <c r="A274" t="str">
        <f>Data!A275</f>
        <v>2023-01-19</v>
      </c>
      <c r="B274">
        <f>IF(OR(Data!B275="",Data!B274=""),"",Data!B275/Data!B274-1)</f>
        <v>6.0448049439942864E-4</v>
      </c>
      <c r="C274">
        <f>IF(OR(Data!C275="",Data!C274=""),"",Data!C275/Data!C274-1)</f>
        <v>-1.4823001182817208E-2</v>
      </c>
      <c r="D274">
        <f>IF(OR(Data!D275="",Data!D274=""),"",Data!D275/Data!D274-1)</f>
        <v>-1.2928283870764501E-2</v>
      </c>
    </row>
    <row r="275" spans="1:4" x14ac:dyDescent="0.35">
      <c r="A275" t="str">
        <f>Data!A276</f>
        <v>2023-01-20</v>
      </c>
      <c r="B275">
        <f>IF(OR(Data!B276="",Data!B275=""),"",Data!B276/Data!B275-1)</f>
        <v>-1.9046038219461825E-2</v>
      </c>
      <c r="C275">
        <f>IF(OR(Data!C276="",Data!C275=""),"",Data!C276/Data!C275-1)</f>
        <v>-9.4069992447955997E-3</v>
      </c>
      <c r="D275">
        <f>IF(OR(Data!D276="",Data!D275=""),"",Data!D276/Data!D275-1)</f>
        <v>-1.346006676275735E-2</v>
      </c>
    </row>
    <row r="276" spans="1:4" x14ac:dyDescent="0.35">
      <c r="A276" t="str">
        <f>Data!A277</f>
        <v>2023-01-23</v>
      </c>
      <c r="B276">
        <f>IF(OR(Data!B277="",Data!B276=""),"",Data!B277/Data!B276-1)</f>
        <v>9.6882409074363629E-3</v>
      </c>
      <c r="C276">
        <f>IF(OR(Data!C277="",Data!C276=""),"",Data!C277/Data!C276-1)</f>
        <v>-1.7909420992038627E-2</v>
      </c>
      <c r="D276">
        <f>IF(OR(Data!D277="",Data!D276=""),"",Data!D277/Data!D276-1)</f>
        <v>8.5629533884652442E-3</v>
      </c>
    </row>
    <row r="277" spans="1:4" x14ac:dyDescent="0.35">
      <c r="A277" t="str">
        <f>Data!A278</f>
        <v>2023-01-24</v>
      </c>
      <c r="B277">
        <f>IF(OR(Data!B278="",Data!B277=""),"",Data!B278/Data!B277-1)</f>
        <v>4.3913408643156959E-3</v>
      </c>
      <c r="C277">
        <f>IF(OR(Data!C278="",Data!C277=""),"",Data!C278/Data!C277-1)</f>
        <v>7.9936677953629243E-4</v>
      </c>
      <c r="D277">
        <f>IF(OR(Data!D278="",Data!D277=""),"",Data!D278/Data!D277-1)</f>
        <v>-1.2473257098960189E-2</v>
      </c>
    </row>
    <row r="278" spans="1:4" x14ac:dyDescent="0.35">
      <c r="A278" t="str">
        <f>Data!A279</f>
        <v>2023-01-25</v>
      </c>
      <c r="B278">
        <f>IF(OR(Data!B279="",Data!B278=""),"",Data!B279/Data!B278-1)</f>
        <v>-1.1537137008958642E-2</v>
      </c>
      <c r="C278">
        <f>IF(OR(Data!C279="",Data!C278=""),"",Data!C279/Data!C278-1)</f>
        <v>-1.1199171934210828E-2</v>
      </c>
      <c r="D278">
        <f>IF(OR(Data!D279="",Data!D278=""),"",Data!D279/Data!D278-1)</f>
        <v>-1.4329947152645905E-3</v>
      </c>
    </row>
    <row r="279" spans="1:4" x14ac:dyDescent="0.35">
      <c r="A279" t="str">
        <f>Data!A280</f>
        <v>2023-01-26</v>
      </c>
      <c r="B279">
        <f>IF(OR(Data!B280="",Data!B279=""),"",Data!B280/Data!B279-1)</f>
        <v>1.7969443114100869E-3</v>
      </c>
      <c r="C279">
        <f>IF(OR(Data!C280="",Data!C279=""),"",Data!C280/Data!C279-1)</f>
        <v>3.8016034878258775E-3</v>
      </c>
      <c r="D279">
        <f>IF(OR(Data!D280="",Data!D279=""),"",Data!D280/Data!D279-1)</f>
        <v>6.5604183324792009E-2</v>
      </c>
    </row>
    <row r="280" spans="1:4" x14ac:dyDescent="0.35">
      <c r="A280" t="str">
        <f>Data!A281</f>
        <v>2023-01-27</v>
      </c>
      <c r="B280">
        <f>IF(OR(Data!B281="",Data!B280=""),"",Data!B281/Data!B280-1)</f>
        <v>-7.2797058728446551E-3</v>
      </c>
      <c r="C280">
        <f>IF(OR(Data!C281="",Data!C280=""),"",Data!C281/Data!C280-1)</f>
        <v>-2.2787262603445435E-2</v>
      </c>
      <c r="D280">
        <f>IF(OR(Data!D281="",Data!D280=""),"",Data!D281/Data!D280-1)</f>
        <v>-6.8372399212904833E-3</v>
      </c>
    </row>
    <row r="281" spans="1:4" x14ac:dyDescent="0.35">
      <c r="A281" t="str">
        <f>Data!A282</f>
        <v>2023-01-30</v>
      </c>
      <c r="B281">
        <f>IF(OR(Data!B282="",Data!B281=""),"",Data!B282/Data!B281-1)</f>
        <v>2.6742928419740686E-3</v>
      </c>
      <c r="C281">
        <f>IF(OR(Data!C282="",Data!C281=""),"",Data!C282/Data!C281-1)</f>
        <v>5.2644404125570254E-3</v>
      </c>
      <c r="D281">
        <f>IF(OR(Data!D282="",Data!D281=""),"",Data!D282/Data!D281-1)</f>
        <v>-1.0148320564851709E-2</v>
      </c>
    </row>
    <row r="282" spans="1:4" x14ac:dyDescent="0.35">
      <c r="A282" t="str">
        <f>Data!A283</f>
        <v>2023-01-31</v>
      </c>
      <c r="B282">
        <f>IF(OR(Data!B283="",Data!B282=""),"",Data!B283/Data!B282-1)</f>
        <v>1.3736366481573059E-2</v>
      </c>
      <c r="C282">
        <f>IF(OR(Data!C283="",Data!C282=""),"",Data!C283/Data!C282-1)</f>
        <v>1.2872766037611116E-2</v>
      </c>
      <c r="D282">
        <f>IF(OR(Data!D283="",Data!D282=""),"",Data!D283/Data!D282-1)</f>
        <v>-1.8699546100469977E-2</v>
      </c>
    </row>
    <row r="283" spans="1:4" x14ac:dyDescent="0.35">
      <c r="A283" t="str">
        <f>Data!A284</f>
        <v>2023-02-01</v>
      </c>
      <c r="B283">
        <f>IF(OR(Data!B284="",Data!B283=""),"",Data!B284/Data!B283-1)</f>
        <v>3.2641145454598286E-2</v>
      </c>
      <c r="C283">
        <f>IF(OR(Data!C284="",Data!C283=""),"",Data!C284/Data!C283-1)</f>
        <v>-2.9184446832273059E-2</v>
      </c>
      <c r="D283">
        <f>IF(OR(Data!D284="",Data!D283=""),"",Data!D284/Data!D283-1)</f>
        <v>2.3139551825083204E-2</v>
      </c>
    </row>
    <row r="284" spans="1:4" x14ac:dyDescent="0.35">
      <c r="A284" t="str">
        <f>Data!A285</f>
        <v>2023-02-02</v>
      </c>
      <c r="B284">
        <f>IF(OR(Data!B285="",Data!B284=""),"",Data!B285/Data!B284-1)</f>
        <v>-2.4061712609529606E-2</v>
      </c>
      <c r="C284">
        <f>IF(OR(Data!C285="",Data!C284=""),"",Data!C285/Data!C284-1)</f>
        <v>5.9159294265167528E-3</v>
      </c>
      <c r="D284">
        <f>IF(OR(Data!D285="",Data!D284=""),"",Data!D285/Data!D284-1)</f>
        <v>-4.8748330318505451E-3</v>
      </c>
    </row>
    <row r="285" spans="1:4" x14ac:dyDescent="0.35">
      <c r="A285" t="str">
        <f>Data!A286</f>
        <v>2023-02-03</v>
      </c>
      <c r="B285">
        <f>IF(OR(Data!B286="",Data!B285=""),"",Data!B286/Data!B285-1)</f>
        <v>4.4000897839886033E-2</v>
      </c>
      <c r="C285">
        <f>IF(OR(Data!C286="",Data!C285=""),"",Data!C286/Data!C285-1)</f>
        <v>1.8878671028212723E-2</v>
      </c>
      <c r="D285">
        <f>IF(OR(Data!D286="",Data!D285=""),"",Data!D286/Data!D285-1)</f>
        <v>-1.875318027768369E-2</v>
      </c>
    </row>
    <row r="286" spans="1:4" x14ac:dyDescent="0.35">
      <c r="A286" t="str">
        <f>Data!A287</f>
        <v>2023-02-06</v>
      </c>
      <c r="B286">
        <f>IF(OR(Data!B287="",Data!B286=""),"",Data!B287/Data!B286-1)</f>
        <v>-3.7904554858164796E-2</v>
      </c>
      <c r="C286">
        <f>IF(OR(Data!C287="",Data!C286=""),"",Data!C287/Data!C286-1)</f>
        <v>-1.7698770086970073E-2</v>
      </c>
      <c r="D286">
        <f>IF(OR(Data!D287="",Data!D286=""),"",Data!D287/Data!D286-1)</f>
        <v>4.1007971895689721E-2</v>
      </c>
    </row>
    <row r="287" spans="1:4" x14ac:dyDescent="0.35">
      <c r="A287" t="str">
        <f>Data!A288</f>
        <v>2023-02-07</v>
      </c>
      <c r="B287">
        <f>IF(OR(Data!B288="",Data!B287=""),"",Data!B288/Data!B287-1)</f>
        <v>-2.6317707673951807E-3</v>
      </c>
      <c r="C287">
        <f>IF(OR(Data!C288="",Data!C287=""),"",Data!C288/Data!C287-1)</f>
        <v>2.5700734396884473E-2</v>
      </c>
      <c r="D287">
        <f>IF(OR(Data!D288="",Data!D287=""),"",Data!D288/Data!D287-1)</f>
        <v>4.408171668594929E-2</v>
      </c>
    </row>
    <row r="288" spans="1:4" x14ac:dyDescent="0.35">
      <c r="A288" t="str">
        <f>Data!A289</f>
        <v>2023-02-08</v>
      </c>
      <c r="B288">
        <f>IF(OR(Data!B289="",Data!B288=""),"",Data!B289/Data!B288-1)</f>
        <v>1.2240600057698003E-2</v>
      </c>
      <c r="C288">
        <f>IF(OR(Data!C289="",Data!C288=""),"",Data!C289/Data!C288-1)</f>
        <v>6.5945776744529283E-3</v>
      </c>
      <c r="D288">
        <f>IF(OR(Data!D289="",Data!D288=""),"",Data!D289/Data!D288-1)</f>
        <v>-1.7310979052184927E-2</v>
      </c>
    </row>
    <row r="289" spans="1:4" x14ac:dyDescent="0.35">
      <c r="A289" t="str">
        <f>Data!A290</f>
        <v>2023-02-09</v>
      </c>
      <c r="B289">
        <f>IF(OR(Data!B290="",Data!B289=""),"",Data!B290/Data!B289-1)</f>
        <v>6.0372647912987354E-3</v>
      </c>
      <c r="C289">
        <f>IF(OR(Data!C290="",Data!C289=""),"",Data!C290/Data!C289-1)</f>
        <v>-1.0234993422420402E-2</v>
      </c>
      <c r="D289">
        <f>IF(OR(Data!D290="",Data!D289=""),"",Data!D290/Data!D289-1)</f>
        <v>-5.3937028826381295E-2</v>
      </c>
    </row>
    <row r="290" spans="1:4" x14ac:dyDescent="0.35">
      <c r="A290" t="str">
        <f>Data!A291</f>
        <v>2023-02-10</v>
      </c>
      <c r="B290">
        <f>IF(OR(Data!B291="",Data!B290=""),"",Data!B291/Data!B290-1)</f>
        <v>-1.1981295279248738E-2</v>
      </c>
      <c r="C290">
        <f>IF(OR(Data!C291="",Data!C290=""),"",Data!C291/Data!C290-1)</f>
        <v>-5.4894575056851913E-4</v>
      </c>
      <c r="D290">
        <f>IF(OR(Data!D291="",Data!D290=""),"",Data!D291/Data!D290-1)</f>
        <v>3.125368873019152E-2</v>
      </c>
    </row>
    <row r="291" spans="1:4" x14ac:dyDescent="0.35">
      <c r="A291" t="str">
        <f>Data!A292</f>
        <v>2023-02-13</v>
      </c>
      <c r="B291">
        <f>IF(OR(Data!B292="",Data!B291=""),"",Data!B292/Data!B291-1)</f>
        <v>-3.7551515058835694E-3</v>
      </c>
      <c r="C291">
        <f>IF(OR(Data!C292="",Data!C291=""),"",Data!C292/Data!C291-1)</f>
        <v>8.7000942197466014E-3</v>
      </c>
      <c r="D291">
        <f>IF(OR(Data!D292="",Data!D291=""),"",Data!D292/Data!D291-1)</f>
        <v>-1.979030202767651E-2</v>
      </c>
    </row>
    <row r="292" spans="1:4" x14ac:dyDescent="0.35">
      <c r="A292" t="str">
        <f>Data!A293</f>
        <v>2023-02-14</v>
      </c>
      <c r="B292">
        <f>IF(OR(Data!B293="",Data!B292=""),"",Data!B293/Data!B292-1)</f>
        <v>-9.4151100332223736E-3</v>
      </c>
      <c r="C292">
        <f>IF(OR(Data!C293="",Data!C292=""),"",Data!C293/Data!C292-1)</f>
        <v>1.428682106413115E-3</v>
      </c>
      <c r="D292">
        <f>IF(OR(Data!D293="",Data!D292=""),"",Data!D293/Data!D292-1)</f>
        <v>2.4565659256448047E-2</v>
      </c>
    </row>
    <row r="293" spans="1:4" x14ac:dyDescent="0.35">
      <c r="A293" t="str">
        <f>Data!A294</f>
        <v>2023-02-15</v>
      </c>
      <c r="B293">
        <f>IF(OR(Data!B294="",Data!B293=""),"",Data!B294/Data!B293-1)</f>
        <v>-1.1323389695250596E-2</v>
      </c>
      <c r="C293">
        <f>IF(OR(Data!C294="",Data!C293=""),"",Data!C294/Data!C293-1)</f>
        <v>8.4038241399160274E-3</v>
      </c>
      <c r="D293">
        <f>IF(OR(Data!D294="",Data!D293=""),"",Data!D294/Data!D293-1)</f>
        <v>-5.6871712976422129E-2</v>
      </c>
    </row>
    <row r="294" spans="1:4" x14ac:dyDescent="0.35">
      <c r="A294" t="str">
        <f>Data!A295</f>
        <v>2023-02-16</v>
      </c>
      <c r="B294">
        <f>IF(OR(Data!B295="",Data!B294=""),"",Data!B295/Data!B294-1)</f>
        <v>1.7544014317326218E-2</v>
      </c>
      <c r="C294">
        <f>IF(OR(Data!C295="",Data!C294=""),"",Data!C295/Data!C294-1)</f>
        <v>-1.3431499267049674E-2</v>
      </c>
      <c r="D294">
        <f>IF(OR(Data!D295="",Data!D294=""),"",Data!D295/Data!D294-1)</f>
        <v>2.7704386468850872E-2</v>
      </c>
    </row>
    <row r="295" spans="1:4" x14ac:dyDescent="0.35">
      <c r="A295" t="str">
        <f>Data!A296</f>
        <v>2023-02-17</v>
      </c>
      <c r="B295">
        <f>IF(OR(Data!B296="",Data!B295=""),"",Data!B296/Data!B295-1)</f>
        <v>7.5695220602038926E-3</v>
      </c>
      <c r="C295">
        <f>IF(OR(Data!C296="",Data!C295=""),"",Data!C296/Data!C295-1)</f>
        <v>2.8320049065826414E-3</v>
      </c>
      <c r="D295">
        <f>IF(OR(Data!D296="",Data!D295=""),"",Data!D296/Data!D295-1)</f>
        <v>-3.5152428241367994E-2</v>
      </c>
    </row>
    <row r="296" spans="1:4" x14ac:dyDescent="0.35">
      <c r="A296" t="str">
        <f>Data!A297</f>
        <v>2023-02-20</v>
      </c>
      <c r="B296">
        <f>IF(OR(Data!B297="",Data!B296=""),"",Data!B297/Data!B296-1)</f>
        <v>-1.3368570101869315E-2</v>
      </c>
      <c r="C296">
        <f>IF(OR(Data!C297="",Data!C296=""),"",Data!C297/Data!C296-1)</f>
        <v>-2.0701208987054964E-2</v>
      </c>
      <c r="D296">
        <f>IF(OR(Data!D297="",Data!D296=""),"",Data!D297/Data!D296-1)</f>
        <v>2.2727748790798419E-2</v>
      </c>
    </row>
    <row r="297" spans="1:4" x14ac:dyDescent="0.35">
      <c r="A297" t="str">
        <f>Data!A298</f>
        <v>2023-02-21</v>
      </c>
      <c r="B297">
        <f>IF(OR(Data!B298="",Data!B297=""),"",Data!B298/Data!B297-1)</f>
        <v>1.8562096060396494E-2</v>
      </c>
      <c r="C297">
        <f>IF(OR(Data!C298="",Data!C297=""),"",Data!C298/Data!C297-1)</f>
        <v>-1.3796682354204615E-3</v>
      </c>
      <c r="D297">
        <f>IF(OR(Data!D298="",Data!D297=""),"",Data!D298/Data!D297-1)</f>
        <v>9.7844761977028405E-4</v>
      </c>
    </row>
    <row r="298" spans="1:4" x14ac:dyDescent="0.35">
      <c r="A298" t="str">
        <f>Data!A299</f>
        <v>2023-02-22</v>
      </c>
      <c r="B298">
        <f>IF(OR(Data!B299="",Data!B298=""),"",Data!B299/Data!B298-1)</f>
        <v>6.5677261102290441E-3</v>
      </c>
      <c r="C298">
        <f>IF(OR(Data!C299="",Data!C298=""),"",Data!C299/Data!C298-1)</f>
        <v>-1.3183641872991925E-2</v>
      </c>
      <c r="D298">
        <f>IF(OR(Data!D299="",Data!D298=""),"",Data!D299/Data!D298-1)</f>
        <v>-2.7678067785433691E-2</v>
      </c>
    </row>
    <row r="299" spans="1:4" x14ac:dyDescent="0.35">
      <c r="A299" t="str">
        <f>Data!A300</f>
        <v>2023-02-23</v>
      </c>
      <c r="B299">
        <f>IF(OR(Data!B300="",Data!B299=""),"",Data!B300/Data!B299-1)</f>
        <v>1.6796729629608764E-2</v>
      </c>
      <c r="C299">
        <f>IF(OR(Data!C300="",Data!C299=""),"",Data!C300/Data!C299-1)</f>
        <v>-1.0687727068236064E-2</v>
      </c>
      <c r="D299">
        <f>IF(OR(Data!D300="",Data!D299=""),"",Data!D300/Data!D299-1)</f>
        <v>-1.1593182596452034E-2</v>
      </c>
    </row>
    <row r="300" spans="1:4" x14ac:dyDescent="0.35">
      <c r="A300" t="str">
        <f>Data!A301</f>
        <v>2023-02-24</v>
      </c>
      <c r="B300">
        <f>IF(OR(Data!B301="",Data!B300=""),"",Data!B301/Data!B300-1)</f>
        <v>1.3077554038500638E-2</v>
      </c>
      <c r="C300">
        <f>IF(OR(Data!C301="",Data!C300=""),"",Data!C301/Data!C300-1)</f>
        <v>1.9006875715837923E-2</v>
      </c>
      <c r="D300">
        <f>IF(OR(Data!D301="",Data!D300=""),"",Data!D301/Data!D300-1)</f>
        <v>2.136458916001005E-2</v>
      </c>
    </row>
    <row r="301" spans="1:4" x14ac:dyDescent="0.35">
      <c r="A301" t="str">
        <f>Data!A302</f>
        <v>2023-02-27</v>
      </c>
      <c r="B301">
        <f>IF(OR(Data!B302="",Data!B301=""),"",Data!B302/Data!B301-1)</f>
        <v>-1.6050189853279773E-2</v>
      </c>
      <c r="C301">
        <f>IF(OR(Data!C302="",Data!C301=""),"",Data!C302/Data!C301-1)</f>
        <v>1.679661906123564E-2</v>
      </c>
      <c r="D301">
        <f>IF(OR(Data!D302="",Data!D301=""),"",Data!D302/Data!D301-1)</f>
        <v>3.733660792581972E-3</v>
      </c>
    </row>
    <row r="302" spans="1:4" x14ac:dyDescent="0.35">
      <c r="A302" t="str">
        <f>Data!A303</f>
        <v>2023-02-28</v>
      </c>
      <c r="B302">
        <f>IF(OR(Data!B303="",Data!B302=""),"",Data!B303/Data!B302-1)</f>
        <v>-1.0744822123337161E-2</v>
      </c>
      <c r="C302">
        <f>IF(OR(Data!C303="",Data!C302=""),"",Data!C303/Data!C302-1)</f>
        <v>9.4695048904223089E-3</v>
      </c>
      <c r="D302">
        <f>IF(OR(Data!D303="",Data!D302=""),"",Data!D303/Data!D302-1)</f>
        <v>1.824675575995971E-2</v>
      </c>
    </row>
    <row r="303" spans="1:4" x14ac:dyDescent="0.35">
      <c r="A303" t="str">
        <f>Data!A304</f>
        <v>2023-03-01</v>
      </c>
      <c r="B303">
        <f>IF(OR(Data!B304="",Data!B303=""),"",Data!B304/Data!B303-1)</f>
        <v>1.5464252575255744E-2</v>
      </c>
      <c r="C303">
        <f>IF(OR(Data!C304="",Data!C303=""),"",Data!C304/Data!C303-1)</f>
        <v>-1.5968468438825378E-2</v>
      </c>
      <c r="D303">
        <f>IF(OR(Data!D304="",Data!D303=""),"",Data!D304/Data!D303-1)</f>
        <v>6.1670476147212883E-2</v>
      </c>
    </row>
    <row r="304" spans="1:4" x14ac:dyDescent="0.35">
      <c r="A304" t="str">
        <f>Data!A305</f>
        <v>2023-03-02</v>
      </c>
      <c r="B304">
        <f>IF(OR(Data!B305="",Data!B304=""),"",Data!B305/Data!B304-1)</f>
        <v>1.2686915389332309E-2</v>
      </c>
      <c r="C304">
        <f>IF(OR(Data!C305="",Data!C304=""),"",Data!C305/Data!C304-1)</f>
        <v>-4.4485679472162643E-3</v>
      </c>
      <c r="D304">
        <f>IF(OR(Data!D305="",Data!D304=""),"",Data!D305/Data!D304-1)</f>
        <v>-4.5318660956408463E-2</v>
      </c>
    </row>
    <row r="305" spans="1:4" x14ac:dyDescent="0.35">
      <c r="A305" t="str">
        <f>Data!A306</f>
        <v>2023-03-03</v>
      </c>
      <c r="B305">
        <f>IF(OR(Data!B306="",Data!B305=""),"",Data!B306/Data!B305-1)</f>
        <v>-1.8321108573693401E-5</v>
      </c>
      <c r="C305">
        <f>IF(OR(Data!C306="",Data!C305=""),"",Data!C306/Data!C305-1)</f>
        <v>1.8655695432717723E-2</v>
      </c>
      <c r="D305">
        <f>IF(OR(Data!D306="",Data!D305=""),"",Data!D306/Data!D305-1)</f>
        <v>5.0290315853404266E-2</v>
      </c>
    </row>
    <row r="306" spans="1:4" x14ac:dyDescent="0.35">
      <c r="A306" t="str">
        <f>Data!A307</f>
        <v>2023-03-06</v>
      </c>
      <c r="B306">
        <f>IF(OR(Data!B307="",Data!B306=""),"",Data!B307/Data!B306-1)</f>
        <v>2.7509648530574804E-3</v>
      </c>
      <c r="C306">
        <f>IF(OR(Data!C307="",Data!C306=""),"",Data!C307/Data!C306-1)</f>
        <v>2.4161969604981071E-3</v>
      </c>
      <c r="D306">
        <f>IF(OR(Data!D307="",Data!D306=""),"",Data!D307/Data!D306-1)</f>
        <v>3.687273246629319E-3</v>
      </c>
    </row>
    <row r="307" spans="1:4" x14ac:dyDescent="0.35">
      <c r="A307" t="str">
        <f>Data!A308</f>
        <v>2023-03-07</v>
      </c>
      <c r="B307">
        <f>IF(OR(Data!B308="",Data!B307=""),"",Data!B308/Data!B307-1)</f>
        <v>2.6292229266777545E-2</v>
      </c>
      <c r="C307">
        <f>IF(OR(Data!C308="",Data!C307=""),"",Data!C308/Data!C307-1)</f>
        <v>3.5699922592641986E-2</v>
      </c>
      <c r="D307">
        <f>IF(OR(Data!D308="",Data!D307=""),"",Data!D308/Data!D307-1)</f>
        <v>-2.6067498013028989E-2</v>
      </c>
    </row>
    <row r="308" spans="1:4" x14ac:dyDescent="0.35">
      <c r="A308" t="str">
        <f>Data!A309</f>
        <v>2023-03-08</v>
      </c>
      <c r="B308">
        <f>IF(OR(Data!B309="",Data!B308=""),"",Data!B309/Data!B308-1)</f>
        <v>-1.1365497596581897E-2</v>
      </c>
      <c r="C308">
        <f>IF(OR(Data!C309="",Data!C308=""),"",Data!C309/Data!C308-1)</f>
        <v>6.2065274189027075E-3</v>
      </c>
      <c r="D308">
        <f>IF(OR(Data!D309="",Data!D308=""),"",Data!D309/Data!D308-1)</f>
        <v>-3.8594967326375462E-2</v>
      </c>
    </row>
    <row r="309" spans="1:4" x14ac:dyDescent="0.35">
      <c r="A309" t="str">
        <f>Data!A310</f>
        <v>2023-03-09</v>
      </c>
      <c r="B309">
        <f>IF(OR(Data!B310="",Data!B309=""),"",Data!B310/Data!B309-1)</f>
        <v>1.1406118318218805E-2</v>
      </c>
      <c r="C309">
        <f>IF(OR(Data!C310="",Data!C309=""),"",Data!C310/Data!C309-1)</f>
        <v>3.1731295684755967E-3</v>
      </c>
      <c r="D309">
        <f>IF(OR(Data!D310="",Data!D309=""),"",Data!D310/Data!D309-1)</f>
        <v>-5.1105344191945123E-3</v>
      </c>
    </row>
    <row r="310" spans="1:4" x14ac:dyDescent="0.35">
      <c r="A310" t="str">
        <f>Data!A311</f>
        <v>2023-03-10</v>
      </c>
      <c r="B310">
        <f>IF(OR(Data!B311="",Data!B310=""),"",Data!B311/Data!B310-1)</f>
        <v>-3.6374966616219417E-3</v>
      </c>
      <c r="C310">
        <f>IF(OR(Data!C311="",Data!C310=""),"",Data!C311/Data!C310-1)</f>
        <v>-4.3398134782147713E-3</v>
      </c>
      <c r="D310">
        <f>IF(OR(Data!D311="",Data!D310=""),"",Data!D311/Data!D310-1)</f>
        <v>2.8600675186994495E-2</v>
      </c>
    </row>
    <row r="311" spans="1:4" x14ac:dyDescent="0.35">
      <c r="A311" t="str">
        <f>Data!A312</f>
        <v>2023-03-13</v>
      </c>
      <c r="B311">
        <f>IF(OR(Data!B312="",Data!B311=""),"",Data!B312/Data!B311-1)</f>
        <v>-3.9456261269069648E-3</v>
      </c>
      <c r="C311">
        <f>IF(OR(Data!C312="",Data!C311=""),"",Data!C312/Data!C311-1)</f>
        <v>2.2933363894297454E-3</v>
      </c>
      <c r="D311">
        <f>IF(OR(Data!D312="",Data!D311=""),"",Data!D312/Data!D311-1)</f>
        <v>-3.2707466484354075E-3</v>
      </c>
    </row>
    <row r="312" spans="1:4" x14ac:dyDescent="0.35">
      <c r="A312" t="str">
        <f>Data!A313</f>
        <v>2023-03-14</v>
      </c>
      <c r="B312">
        <f>IF(OR(Data!B313="",Data!B312=""),"",Data!B313/Data!B312-1)</f>
        <v>2.2627417702579367E-2</v>
      </c>
      <c r="C312">
        <f>IF(OR(Data!C313="",Data!C312=""),"",Data!C313/Data!C312-1)</f>
        <v>-1.9976114418743807E-3</v>
      </c>
      <c r="D312">
        <f>IF(OR(Data!D313="",Data!D312=""),"",Data!D313/Data!D312-1)</f>
        <v>4.6953684078555602E-2</v>
      </c>
    </row>
    <row r="313" spans="1:4" x14ac:dyDescent="0.35">
      <c r="A313" t="str">
        <f>Data!A314</f>
        <v>2023-03-15</v>
      </c>
      <c r="B313">
        <f>IF(OR(Data!B314="",Data!B313=""),"",Data!B314/Data!B313-1)</f>
        <v>1.7052287541567068E-2</v>
      </c>
      <c r="C313">
        <f>IF(OR(Data!C314="",Data!C313=""),"",Data!C314/Data!C313-1)</f>
        <v>1.0968838994662944E-2</v>
      </c>
      <c r="D313">
        <f>IF(OR(Data!D314="",Data!D313=""),"",Data!D314/Data!D313-1)</f>
        <v>-4.2074581354140772E-2</v>
      </c>
    </row>
    <row r="314" spans="1:4" x14ac:dyDescent="0.35">
      <c r="A314" t="str">
        <f>Data!A315</f>
        <v>2023-03-16</v>
      </c>
      <c r="B314">
        <f>IF(OR(Data!B315="",Data!B314=""),"",Data!B315/Data!B314-1)</f>
        <v>1.6810368248059593E-2</v>
      </c>
      <c r="C314">
        <f>IF(OR(Data!C315="",Data!C314=""),"",Data!C315/Data!C314-1)</f>
        <v>1.4745867932153711E-2</v>
      </c>
      <c r="D314">
        <f>IF(OR(Data!D315="",Data!D314=""),"",Data!D315/Data!D314-1)</f>
        <v>1.8706082602060192E-4</v>
      </c>
    </row>
    <row r="315" spans="1:4" x14ac:dyDescent="0.35">
      <c r="A315" t="str">
        <f>Data!A316</f>
        <v>2023-03-17</v>
      </c>
      <c r="B315">
        <f>IF(OR(Data!B316="",Data!B315=""),"",Data!B316/Data!B315-1)</f>
        <v>2.6863643534862369E-2</v>
      </c>
      <c r="C315">
        <f>IF(OR(Data!C316="",Data!C315=""),"",Data!C316/Data!C315-1)</f>
        <v>-1.143656267527049E-2</v>
      </c>
      <c r="D315">
        <f>IF(OR(Data!D316="",Data!D315=""),"",Data!D316/Data!D315-1)</f>
        <v>-3.6344600319438314E-2</v>
      </c>
    </row>
    <row r="316" spans="1:4" x14ac:dyDescent="0.35">
      <c r="A316" t="str">
        <f>Data!A317</f>
        <v>2023-03-20</v>
      </c>
      <c r="B316">
        <f>IF(OR(Data!B317="",Data!B316=""),"",Data!B317/Data!B316-1)</f>
        <v>8.2023748064008473E-4</v>
      </c>
      <c r="C316">
        <f>IF(OR(Data!C317="",Data!C316=""),"",Data!C317/Data!C316-1)</f>
        <v>-1.9488567360616105E-2</v>
      </c>
      <c r="D316">
        <f>IF(OR(Data!D317="",Data!D316=""),"",Data!D317/Data!D316-1)</f>
        <v>1.1524943926037423E-2</v>
      </c>
    </row>
    <row r="317" spans="1:4" x14ac:dyDescent="0.35">
      <c r="A317" t="str">
        <f>Data!A318</f>
        <v>2023-03-21</v>
      </c>
      <c r="B317">
        <f>IF(OR(Data!B318="",Data!B317=""),"",Data!B318/Data!B317-1)</f>
        <v>1.4138119440285646E-2</v>
      </c>
      <c r="C317">
        <f>IF(OR(Data!C318="",Data!C317=""),"",Data!C318/Data!C317-1)</f>
        <v>-2.6887687197182597E-2</v>
      </c>
      <c r="D317">
        <f>IF(OR(Data!D318="",Data!D317=""),"",Data!D318/Data!D317-1)</f>
        <v>2.7528689655556882E-2</v>
      </c>
    </row>
    <row r="318" spans="1:4" x14ac:dyDescent="0.35">
      <c r="A318" t="str">
        <f>Data!A319</f>
        <v>2023-03-22</v>
      </c>
      <c r="B318">
        <f>IF(OR(Data!B319="",Data!B318=""),"",Data!B319/Data!B318-1)</f>
        <v>-5.7880053517889163E-3</v>
      </c>
      <c r="C318">
        <f>IF(OR(Data!C319="",Data!C318=""),"",Data!C319/Data!C318-1)</f>
        <v>7.9389849956752467E-3</v>
      </c>
      <c r="D318">
        <f>IF(OR(Data!D319="",Data!D318=""),"",Data!D319/Data!D318-1)</f>
        <v>-1.2000321913540946E-2</v>
      </c>
    </row>
    <row r="319" spans="1:4" x14ac:dyDescent="0.35">
      <c r="A319" t="str">
        <f>Data!A320</f>
        <v>2023-03-23</v>
      </c>
      <c r="B319">
        <f>IF(OR(Data!B320="",Data!B319=""),"",Data!B320/Data!B319-1)</f>
        <v>6.9071310930588492E-3</v>
      </c>
      <c r="C319">
        <f>IF(OR(Data!C320="",Data!C319=""),"",Data!C320/Data!C319-1)</f>
        <v>-1.6131658309253005E-2</v>
      </c>
      <c r="D319">
        <f>IF(OR(Data!D320="",Data!D319=""),"",Data!D320/Data!D319-1)</f>
        <v>-7.4643790682179301E-2</v>
      </c>
    </row>
    <row r="320" spans="1:4" x14ac:dyDescent="0.35">
      <c r="A320" t="str">
        <f>Data!A321</f>
        <v>2023-03-24</v>
      </c>
      <c r="B320">
        <f>IF(OR(Data!B321="",Data!B320=""),"",Data!B321/Data!B320-1)</f>
        <v>-2.2006806094593268E-3</v>
      </c>
      <c r="C320">
        <f>IF(OR(Data!C321="",Data!C320=""),"",Data!C321/Data!C320-1)</f>
        <v>-3.1499159846823388E-2</v>
      </c>
      <c r="D320">
        <f>IF(OR(Data!D321="",Data!D320=""),"",Data!D321/Data!D320-1)</f>
        <v>6.5396777042683318E-3</v>
      </c>
    </row>
    <row r="321" spans="1:4" x14ac:dyDescent="0.35">
      <c r="A321" t="str">
        <f>Data!A322</f>
        <v>2023-03-27</v>
      </c>
      <c r="B321">
        <f>IF(OR(Data!B322="",Data!B321=""),"",Data!B322/Data!B321-1)</f>
        <v>2.3424126605977591E-3</v>
      </c>
      <c r="C321">
        <f>IF(OR(Data!C322="",Data!C321=""),"",Data!C322/Data!C321-1)</f>
        <v>6.1348914700716239E-3</v>
      </c>
      <c r="D321">
        <f>IF(OR(Data!D322="",Data!D321=""),"",Data!D322/Data!D321-1)</f>
        <v>1.3745601476311986E-2</v>
      </c>
    </row>
    <row r="322" spans="1:4" x14ac:dyDescent="0.35">
      <c r="A322" t="str">
        <f>Data!A323</f>
        <v>2023-03-28</v>
      </c>
      <c r="B322">
        <f>IF(OR(Data!B323="",Data!B322=""),"",Data!B323/Data!B322-1)</f>
        <v>1.2379678144625261E-2</v>
      </c>
      <c r="C322">
        <f>IF(OR(Data!C323="",Data!C322=""),"",Data!C323/Data!C322-1)</f>
        <v>3.8401626716493942E-2</v>
      </c>
      <c r="D322">
        <f>IF(OR(Data!D323="",Data!D322=""),"",Data!D323/Data!D322-1)</f>
        <v>1.2760024019552896E-2</v>
      </c>
    </row>
    <row r="323" spans="1:4" x14ac:dyDescent="0.35">
      <c r="A323" t="str">
        <f>Data!A324</f>
        <v>2023-03-29</v>
      </c>
      <c r="B323">
        <f>IF(OR(Data!B324="",Data!B323=""),"",Data!B324/Data!B323-1)</f>
        <v>-1.5838172194958977E-2</v>
      </c>
      <c r="C323">
        <f>IF(OR(Data!C324="",Data!C323=""),"",Data!C324/Data!C323-1)</f>
        <v>1.965138529251842E-4</v>
      </c>
      <c r="D323">
        <f>IF(OR(Data!D324="",Data!D323=""),"",Data!D324/Data!D323-1)</f>
        <v>3.8339968425289195E-2</v>
      </c>
    </row>
    <row r="324" spans="1:4" x14ac:dyDescent="0.35">
      <c r="A324" t="str">
        <f>Data!A325</f>
        <v>2023-03-30</v>
      </c>
      <c r="B324">
        <f>IF(OR(Data!B325="",Data!B324=""),"",Data!B325/Data!B324-1)</f>
        <v>4.3153312350193263E-2</v>
      </c>
      <c r="C324">
        <f>IF(OR(Data!C325="",Data!C324=""),"",Data!C325/Data!C324-1)</f>
        <v>1.2947848617777202E-2</v>
      </c>
      <c r="D324">
        <f>IF(OR(Data!D325="",Data!D324=""),"",Data!D325/Data!D324-1)</f>
        <v>-3.1088173644691408E-2</v>
      </c>
    </row>
    <row r="325" spans="1:4" x14ac:dyDescent="0.35">
      <c r="A325" t="str">
        <f>Data!A326</f>
        <v>2023-03-31</v>
      </c>
      <c r="B325">
        <f>IF(OR(Data!B326="",Data!B325=""),"",Data!B326/Data!B325-1)</f>
        <v>-1.9527764243442824E-2</v>
      </c>
      <c r="C325">
        <f>IF(OR(Data!C326="",Data!C325=""),"",Data!C326/Data!C325-1)</f>
        <v>1.5161720018137537E-3</v>
      </c>
      <c r="D325">
        <f>IF(OR(Data!D326="",Data!D325=""),"",Data!D326/Data!D325-1)</f>
        <v>2.1177656958298208E-2</v>
      </c>
    </row>
    <row r="326" spans="1:4" x14ac:dyDescent="0.35">
      <c r="A326" t="str">
        <f>Data!A327</f>
        <v>2023-04-03</v>
      </c>
      <c r="B326">
        <f>IF(OR(Data!B327="",Data!B326=""),"",Data!B327/Data!B326-1)</f>
        <v>-2.3600271841438536E-2</v>
      </c>
      <c r="C326">
        <f>IF(OR(Data!C327="",Data!C326=""),"",Data!C327/Data!C326-1)</f>
        <v>-1.194940804471023E-3</v>
      </c>
      <c r="D326">
        <f>IF(OR(Data!D327="",Data!D326=""),"",Data!D327/Data!D326-1)</f>
        <v>3.699311357386148E-2</v>
      </c>
    </row>
    <row r="327" spans="1:4" x14ac:dyDescent="0.35">
      <c r="A327" t="str">
        <f>Data!A328</f>
        <v>2023-04-04</v>
      </c>
      <c r="B327">
        <f>IF(OR(Data!B328="",Data!B327=""),"",Data!B328/Data!B327-1)</f>
        <v>2.3841481596457603E-2</v>
      </c>
      <c r="C327">
        <f>IF(OR(Data!C328="",Data!C327=""),"",Data!C328/Data!C327-1)</f>
        <v>1.4172815810751693E-2</v>
      </c>
      <c r="D327">
        <f>IF(OR(Data!D328="",Data!D327=""),"",Data!D328/Data!D327-1)</f>
        <v>-5.1437619314991578E-2</v>
      </c>
    </row>
    <row r="328" spans="1:4" x14ac:dyDescent="0.35">
      <c r="A328" t="str">
        <f>Data!A329</f>
        <v>2023-04-05</v>
      </c>
      <c r="B328">
        <f>IF(OR(Data!B329="",Data!B328=""),"",Data!B329/Data!B328-1)</f>
        <v>1.636599963774743E-2</v>
      </c>
      <c r="C328">
        <f>IF(OR(Data!C329="",Data!C328=""),"",Data!C329/Data!C328-1)</f>
        <v>-4.058085275924439E-3</v>
      </c>
      <c r="D328">
        <f>IF(OR(Data!D329="",Data!D328=""),"",Data!D329/Data!D328-1)</f>
        <v>1.0191136490955044E-2</v>
      </c>
    </row>
    <row r="329" spans="1:4" x14ac:dyDescent="0.35">
      <c r="A329" t="str">
        <f>Data!A330</f>
        <v>2023-04-06</v>
      </c>
      <c r="B329">
        <f>IF(OR(Data!B330="",Data!B329=""),"",Data!B330/Data!B329-1)</f>
        <v>1.2966132299141009E-2</v>
      </c>
      <c r="C329">
        <f>IF(OR(Data!C330="",Data!C329=""),"",Data!C330/Data!C329-1)</f>
        <v>4.3072742675112075E-3</v>
      </c>
      <c r="D329">
        <f>IF(OR(Data!D330="",Data!D329=""),"",Data!D330/Data!D329-1)</f>
        <v>-1.4469885967848151E-2</v>
      </c>
    </row>
    <row r="330" spans="1:4" x14ac:dyDescent="0.35">
      <c r="A330" t="str">
        <f>Data!A331</f>
        <v>2023-04-07</v>
      </c>
      <c r="B330">
        <f>IF(OR(Data!B331="",Data!B330=""),"",Data!B331/Data!B330-1)</f>
        <v>1.3051268856138609E-2</v>
      </c>
      <c r="C330">
        <f>IF(OR(Data!C331="",Data!C330=""),"",Data!C331/Data!C330-1)</f>
        <v>5.1263917822450544E-3</v>
      </c>
      <c r="D330">
        <f>IF(OR(Data!D331="",Data!D330=""),"",Data!D331/Data!D330-1)</f>
        <v>-1.8935592349659247E-3</v>
      </c>
    </row>
    <row r="331" spans="1:4" x14ac:dyDescent="0.35">
      <c r="A331" t="str">
        <f>Data!A332</f>
        <v>2023-04-10</v>
      </c>
      <c r="B331">
        <f>IF(OR(Data!B332="",Data!B331=""),"",Data!B332/Data!B331-1)</f>
        <v>1.5453632980788612E-4</v>
      </c>
      <c r="C331">
        <f>IF(OR(Data!C332="",Data!C331=""),"",Data!C332/Data!C331-1)</f>
        <v>-9.6866470028654783E-3</v>
      </c>
      <c r="D331">
        <f>IF(OR(Data!D332="",Data!D331=""),"",Data!D332/Data!D331-1)</f>
        <v>1.1040745631571314E-2</v>
      </c>
    </row>
    <row r="332" spans="1:4" x14ac:dyDescent="0.35">
      <c r="A332" t="str">
        <f>Data!A333</f>
        <v>2023-04-11</v>
      </c>
      <c r="B332">
        <f>IF(OR(Data!B333="",Data!B332=""),"",Data!B333/Data!B332-1)</f>
        <v>-1.7391829809888404E-2</v>
      </c>
      <c r="C332">
        <f>IF(OR(Data!C333="",Data!C332=""),"",Data!C333/Data!C332-1)</f>
        <v>1.5283802069379293E-2</v>
      </c>
      <c r="D332">
        <f>IF(OR(Data!D333="",Data!D332=""),"",Data!D333/Data!D332-1)</f>
        <v>-1.3968382952869507E-2</v>
      </c>
    </row>
    <row r="333" spans="1:4" x14ac:dyDescent="0.35">
      <c r="A333" t="str">
        <f>Data!A334</f>
        <v>2023-04-12</v>
      </c>
      <c r="B333">
        <f>IF(OR(Data!B334="",Data!B333=""),"",Data!B334/Data!B333-1)</f>
        <v>1.9181053105203905E-3</v>
      </c>
      <c r="C333">
        <f>IF(OR(Data!C334="",Data!C333=""),"",Data!C334/Data!C333-1)</f>
        <v>-2.3344253205189736E-3</v>
      </c>
      <c r="D333">
        <f>IF(OR(Data!D334="",Data!D333=""),"",Data!D334/Data!D333-1)</f>
        <v>-1.9528266080034662E-2</v>
      </c>
    </row>
    <row r="334" spans="1:4" x14ac:dyDescent="0.35">
      <c r="A334" t="str">
        <f>Data!A335</f>
        <v>2023-04-13</v>
      </c>
      <c r="B334">
        <f>IF(OR(Data!B335="",Data!B334=""),"",Data!B335/Data!B334-1)</f>
        <v>-1.3057615582740656E-2</v>
      </c>
      <c r="C334">
        <f>IF(OR(Data!C335="",Data!C334=""),"",Data!C335/Data!C334-1)</f>
        <v>-1.0987971613325431E-2</v>
      </c>
      <c r="D334">
        <f>IF(OR(Data!D335="",Data!D334=""),"",Data!D335/Data!D334-1)</f>
        <v>1.5762350750088139E-3</v>
      </c>
    </row>
    <row r="335" spans="1:4" x14ac:dyDescent="0.35">
      <c r="A335" t="str">
        <f>Data!A336</f>
        <v>2023-04-14</v>
      </c>
      <c r="B335">
        <f>IF(OR(Data!B336="",Data!B335=""),"",Data!B336/Data!B335-1)</f>
        <v>2.0102199630154249E-2</v>
      </c>
      <c r="C335">
        <f>IF(OR(Data!C336="",Data!C335=""),"",Data!C336/Data!C335-1)</f>
        <v>8.370091774797972E-3</v>
      </c>
      <c r="D335">
        <f>IF(OR(Data!D336="",Data!D335=""),"",Data!D336/Data!D335-1)</f>
        <v>-3.1558815239862481E-2</v>
      </c>
    </row>
    <row r="336" spans="1:4" x14ac:dyDescent="0.35">
      <c r="A336" t="str">
        <f>Data!A337</f>
        <v>2023-04-17</v>
      </c>
      <c r="B336">
        <f>IF(OR(Data!B337="",Data!B336=""),"",Data!B337/Data!B336-1)</f>
        <v>-2.538212092354275E-3</v>
      </c>
      <c r="C336">
        <f>IF(OR(Data!C337="",Data!C336=""),"",Data!C337/Data!C336-1)</f>
        <v>-1.3102633871544422E-2</v>
      </c>
      <c r="D336">
        <f>IF(OR(Data!D337="",Data!D336=""),"",Data!D337/Data!D336-1)</f>
        <v>-3.1517609277950998E-2</v>
      </c>
    </row>
    <row r="337" spans="1:4" x14ac:dyDescent="0.35">
      <c r="A337" t="str">
        <f>Data!A338</f>
        <v>2023-04-18</v>
      </c>
      <c r="B337">
        <f>IF(OR(Data!B338="",Data!B337=""),"",Data!B338/Data!B337-1)</f>
        <v>-1.5980595819745314E-2</v>
      </c>
      <c r="C337">
        <f>IF(OR(Data!C338="",Data!C337=""),"",Data!C338/Data!C337-1)</f>
        <v>7.1011462610770515E-4</v>
      </c>
      <c r="D337">
        <f>IF(OR(Data!D338="",Data!D337=""),"",Data!D338/Data!D337-1)</f>
        <v>2.1151793114651429E-2</v>
      </c>
    </row>
    <row r="338" spans="1:4" x14ac:dyDescent="0.35">
      <c r="A338" t="str">
        <f>Data!A339</f>
        <v>2023-04-19</v>
      </c>
      <c r="B338">
        <f>IF(OR(Data!B339="",Data!B338=""),"",Data!B339/Data!B338-1)</f>
        <v>-6.0101427055078149E-3</v>
      </c>
      <c r="C338">
        <f>IF(OR(Data!C339="",Data!C338=""),"",Data!C339/Data!C338-1)</f>
        <v>1.5084539282050891E-4</v>
      </c>
      <c r="D338">
        <f>IF(OR(Data!D339="",Data!D338=""),"",Data!D339/Data!D338-1)</f>
        <v>-3.3345158578571676E-2</v>
      </c>
    </row>
    <row r="339" spans="1:4" x14ac:dyDescent="0.35">
      <c r="A339" t="str">
        <f>Data!A340</f>
        <v>2023-04-20</v>
      </c>
      <c r="B339">
        <f>IF(OR(Data!B340="",Data!B339=""),"",Data!B340/Data!B339-1)</f>
        <v>8.6963675223816761E-3</v>
      </c>
      <c r="C339">
        <f>IF(OR(Data!C340="",Data!C339=""),"",Data!C340/Data!C339-1)</f>
        <v>1.6714122692307321E-2</v>
      </c>
      <c r="D339">
        <f>IF(OR(Data!D340="",Data!D339=""),"",Data!D340/Data!D339-1)</f>
        <v>2.0752034508032313E-2</v>
      </c>
    </row>
    <row r="340" spans="1:4" x14ac:dyDescent="0.35">
      <c r="A340" t="str">
        <f>Data!A341</f>
        <v>2023-04-21</v>
      </c>
      <c r="B340">
        <f>IF(OR(Data!B341="",Data!B340=""),"",Data!B341/Data!B340-1)</f>
        <v>-1.0815558343789222E-2</v>
      </c>
      <c r="C340">
        <f>IF(OR(Data!C341="",Data!C340=""),"",Data!C341/Data!C340-1)</f>
        <v>7.4355469623279546E-3</v>
      </c>
      <c r="D340">
        <f>IF(OR(Data!D341="",Data!D340=""),"",Data!D341/Data!D340-1)</f>
        <v>1.4532273824651609E-2</v>
      </c>
    </row>
    <row r="341" spans="1:4" x14ac:dyDescent="0.35">
      <c r="A341" t="str">
        <f>Data!A342</f>
        <v>2023-04-24</v>
      </c>
      <c r="B341">
        <f>IF(OR(Data!B342="",Data!B341=""),"",Data!B342/Data!B341-1)</f>
        <v>-1.5916341104543541E-2</v>
      </c>
      <c r="C341">
        <f>IF(OR(Data!C342="",Data!C341=""),"",Data!C342/Data!C341-1)</f>
        <v>-8.7934221883800845E-5</v>
      </c>
      <c r="D341">
        <f>IF(OR(Data!D342="",Data!D341=""),"",Data!D342/Data!D341-1)</f>
        <v>-4.9934606542595183E-2</v>
      </c>
    </row>
    <row r="342" spans="1:4" x14ac:dyDescent="0.35">
      <c r="A342" t="str">
        <f>Data!A343</f>
        <v>2023-04-25</v>
      </c>
      <c r="B342">
        <f>IF(OR(Data!B343="",Data!B342=""),"",Data!B343/Data!B342-1)</f>
        <v>5.2878724530363019E-3</v>
      </c>
      <c r="C342">
        <f>IF(OR(Data!C343="",Data!C342=""),"",Data!C343/Data!C342-1)</f>
        <v>1.263294479858601E-2</v>
      </c>
      <c r="D342">
        <f>IF(OR(Data!D343="",Data!D342=""),"",Data!D343/Data!D342-1)</f>
        <v>-1.9582485421618778E-2</v>
      </c>
    </row>
    <row r="343" spans="1:4" x14ac:dyDescent="0.35">
      <c r="A343" t="str">
        <f>Data!A344</f>
        <v>2023-04-26</v>
      </c>
      <c r="B343">
        <f>IF(OR(Data!B344="",Data!B343=""),"",Data!B344/Data!B343-1)</f>
        <v>5.3137483522252005E-3</v>
      </c>
      <c r="C343">
        <f>IF(OR(Data!C344="",Data!C343=""),"",Data!C344/Data!C343-1)</f>
        <v>2.136588103484649E-2</v>
      </c>
      <c r="D343">
        <f>IF(OR(Data!D344="",Data!D343=""),"",Data!D344/Data!D343-1)</f>
        <v>3.7043093392637338E-2</v>
      </c>
    </row>
    <row r="344" spans="1:4" x14ac:dyDescent="0.35">
      <c r="A344" t="str">
        <f>Data!A345</f>
        <v>2023-04-27</v>
      </c>
      <c r="B344">
        <f>IF(OR(Data!B345="",Data!B344=""),"",Data!B345/Data!B344-1)</f>
        <v>-9.6921068196275106E-3</v>
      </c>
      <c r="C344">
        <f>IF(OR(Data!C345="",Data!C344=""),"",Data!C345/Data!C344-1)</f>
        <v>8.6921227036385051E-3</v>
      </c>
      <c r="D344">
        <f>IF(OR(Data!D345="",Data!D344=""),"",Data!D345/Data!D344-1)</f>
        <v>-2.8471864520808632E-2</v>
      </c>
    </row>
    <row r="345" spans="1:4" x14ac:dyDescent="0.35">
      <c r="A345" t="str">
        <f>Data!A346</f>
        <v>2023-04-28</v>
      </c>
      <c r="B345">
        <f>IF(OR(Data!B346="",Data!B345=""),"",Data!B346/Data!B345-1)</f>
        <v>-8.980438147503933E-3</v>
      </c>
      <c r="C345">
        <f>IF(OR(Data!C346="",Data!C345=""),"",Data!C346/Data!C345-1)</f>
        <v>4.4294868634309204E-4</v>
      </c>
      <c r="D345">
        <f>IF(OR(Data!D346="",Data!D345=""),"",Data!D346/Data!D345-1)</f>
        <v>-1.3293046456143376E-2</v>
      </c>
    </row>
    <row r="346" spans="1:4" x14ac:dyDescent="0.35">
      <c r="A346" t="str">
        <f>Data!A347</f>
        <v>2023-05-01</v>
      </c>
      <c r="B346">
        <f>IF(OR(Data!B347="",Data!B346=""),"",Data!B347/Data!B346-1)</f>
        <v>5.0543774010933795E-3</v>
      </c>
      <c r="C346">
        <f>IF(OR(Data!C347="",Data!C346=""),"",Data!C347/Data!C346-1)</f>
        <v>-1.9203299738720259E-2</v>
      </c>
      <c r="D346">
        <f>IF(OR(Data!D347="",Data!D346=""),"",Data!D347/Data!D346-1)</f>
        <v>1.4516083930653956E-2</v>
      </c>
    </row>
    <row r="347" spans="1:4" x14ac:dyDescent="0.35">
      <c r="A347" t="str">
        <f>Data!A348</f>
        <v>2023-05-02</v>
      </c>
      <c r="B347">
        <f>IF(OR(Data!B348="",Data!B347=""),"",Data!B348/Data!B347-1)</f>
        <v>-2.8158292206527658E-2</v>
      </c>
      <c r="C347">
        <f>IF(OR(Data!C348="",Data!C347=""),"",Data!C348/Data!C347-1)</f>
        <v>-1.5566742484381724E-2</v>
      </c>
      <c r="D347">
        <f>IF(OR(Data!D348="",Data!D347=""),"",Data!D348/Data!D347-1)</f>
        <v>2.4343435762794963E-2</v>
      </c>
    </row>
    <row r="348" spans="1:4" x14ac:dyDescent="0.35">
      <c r="A348" t="str">
        <f>Data!A349</f>
        <v>2023-05-03</v>
      </c>
      <c r="B348">
        <f>IF(OR(Data!B349="",Data!B348=""),"",Data!B349/Data!B348-1)</f>
        <v>-2.7367621024306787E-2</v>
      </c>
      <c r="C348">
        <f>IF(OR(Data!C349="",Data!C348=""),"",Data!C349/Data!C348-1)</f>
        <v>-4.2818108248063869E-3</v>
      </c>
      <c r="D348">
        <f>IF(OR(Data!D349="",Data!D348=""),"",Data!D349/Data!D348-1)</f>
        <v>-6.9717736553059906E-3</v>
      </c>
    </row>
    <row r="349" spans="1:4" x14ac:dyDescent="0.35">
      <c r="A349" t="str">
        <f>Data!A350</f>
        <v>2023-05-04</v>
      </c>
      <c r="B349">
        <f>IF(OR(Data!B350="",Data!B349=""),"",Data!B350/Data!B349-1)</f>
        <v>-1.3871350808812966E-2</v>
      </c>
      <c r="C349">
        <f>IF(OR(Data!C350="",Data!C349=""),"",Data!C350/Data!C349-1)</f>
        <v>-8.8158303788760106E-3</v>
      </c>
      <c r="D349">
        <f>IF(OR(Data!D350="",Data!D349=""),"",Data!D350/Data!D349-1)</f>
        <v>-1.7225577440183937E-2</v>
      </c>
    </row>
    <row r="350" spans="1:4" x14ac:dyDescent="0.35">
      <c r="A350" t="str">
        <f>Data!A351</f>
        <v>2023-05-05</v>
      </c>
      <c r="B350">
        <f>IF(OR(Data!B351="",Data!B350=""),"",Data!B351/Data!B350-1)</f>
        <v>-3.8614524054750854E-3</v>
      </c>
      <c r="C350">
        <f>IF(OR(Data!C351="",Data!C350=""),"",Data!C351/Data!C350-1)</f>
        <v>-2.5141609238165108E-3</v>
      </c>
      <c r="D350">
        <f>IF(OR(Data!D351="",Data!D350=""),"",Data!D351/Data!D350-1)</f>
        <v>4.4168799419588511E-2</v>
      </c>
    </row>
    <row r="351" spans="1:4" x14ac:dyDescent="0.35">
      <c r="A351" t="str">
        <f>Data!A352</f>
        <v>2023-05-08</v>
      </c>
      <c r="B351">
        <f>IF(OR(Data!B352="",Data!B351=""),"",Data!B352/Data!B351-1)</f>
        <v>6.6396982414242967E-3</v>
      </c>
      <c r="C351">
        <f>IF(OR(Data!C352="",Data!C351=""),"",Data!C352/Data!C351-1)</f>
        <v>1.1381544754098805E-3</v>
      </c>
      <c r="D351">
        <f>IF(OR(Data!D352="",Data!D351=""),"",Data!D352/Data!D351-1)</f>
        <v>5.4131619086869698E-2</v>
      </c>
    </row>
    <row r="352" spans="1:4" x14ac:dyDescent="0.35">
      <c r="A352" t="str">
        <f>Data!A353</f>
        <v>2023-05-09</v>
      </c>
      <c r="B352">
        <f>IF(OR(Data!B353="",Data!B352=""),"",Data!B353/Data!B352-1)</f>
        <v>3.0358966200858095E-2</v>
      </c>
      <c r="C352">
        <f>IF(OR(Data!C353="",Data!C352=""),"",Data!C353/Data!C352-1)</f>
        <v>8.2666719012927103E-3</v>
      </c>
      <c r="D352">
        <f>IF(OR(Data!D353="",Data!D352=""),"",Data!D353/Data!D352-1)</f>
        <v>3.0367789749667695E-2</v>
      </c>
    </row>
    <row r="353" spans="1:4" x14ac:dyDescent="0.35">
      <c r="A353" t="str">
        <f>Data!A354</f>
        <v>2023-05-10</v>
      </c>
      <c r="B353">
        <f>IF(OR(Data!B354="",Data!B353=""),"",Data!B354/Data!B353-1)</f>
        <v>1.7708545732671777E-2</v>
      </c>
      <c r="C353">
        <f>IF(OR(Data!C354="",Data!C353=""),"",Data!C354/Data!C353-1)</f>
        <v>-7.6964308940863368E-4</v>
      </c>
      <c r="D353">
        <f>IF(OR(Data!D354="",Data!D353=""),"",Data!D354/Data!D353-1)</f>
        <v>3.1142134072774663E-3</v>
      </c>
    </row>
    <row r="354" spans="1:4" x14ac:dyDescent="0.35">
      <c r="A354" t="str">
        <f>Data!A355</f>
        <v>2023-05-11</v>
      </c>
      <c r="B354">
        <f>IF(OR(Data!B355="",Data!B354=""),"",Data!B355/Data!B354-1)</f>
        <v>-2.7950809872654414E-3</v>
      </c>
      <c r="C354">
        <f>IF(OR(Data!C355="",Data!C354=""),"",Data!C355/Data!C354-1)</f>
        <v>7.614059582596866E-3</v>
      </c>
      <c r="D354">
        <f>IF(OR(Data!D355="",Data!D354=""),"",Data!D355/Data!D354-1)</f>
        <v>-2.3419286101921122E-2</v>
      </c>
    </row>
    <row r="355" spans="1:4" x14ac:dyDescent="0.35">
      <c r="A355" t="str">
        <f>Data!A356</f>
        <v>2023-05-12</v>
      </c>
      <c r="B355">
        <f>IF(OR(Data!B356="",Data!B355=""),"",Data!B356/Data!B355-1)</f>
        <v>1.9843648585649021E-5</v>
      </c>
      <c r="C355">
        <f>IF(OR(Data!C356="",Data!C355=""),"",Data!C356/Data!C355-1)</f>
        <v>1.2552378718966306E-3</v>
      </c>
      <c r="D355">
        <f>IF(OR(Data!D356="",Data!D355=""),"",Data!D356/Data!D355-1)</f>
        <v>-2.4068977330014119E-2</v>
      </c>
    </row>
    <row r="356" spans="1:4" x14ac:dyDescent="0.35">
      <c r="A356" t="str">
        <f>Data!A357</f>
        <v>2023-05-15</v>
      </c>
      <c r="B356">
        <f>IF(OR(Data!B357="",Data!B356=""),"",Data!B357/Data!B356-1)</f>
        <v>-1.9458791760749938E-2</v>
      </c>
      <c r="C356">
        <f>IF(OR(Data!C357="",Data!C356=""),"",Data!C357/Data!C356-1)</f>
        <v>-2.8918101333543667E-2</v>
      </c>
      <c r="D356">
        <f>IF(OR(Data!D357="",Data!D356=""),"",Data!D357/Data!D356-1)</f>
        <v>1.635778816098421E-2</v>
      </c>
    </row>
    <row r="357" spans="1:4" x14ac:dyDescent="0.35">
      <c r="A357" t="str">
        <f>Data!A358</f>
        <v>2023-05-16</v>
      </c>
      <c r="B357">
        <f>IF(OR(Data!B358="",Data!B357=""),"",Data!B358/Data!B357-1)</f>
        <v>2.9512354714933409E-5</v>
      </c>
      <c r="C357">
        <f>IF(OR(Data!C358="",Data!C357=""),"",Data!C358/Data!C357-1)</f>
        <v>-1.3707591411799336E-2</v>
      </c>
      <c r="D357">
        <f>IF(OR(Data!D358="",Data!D357=""),"",Data!D358/Data!D357-1)</f>
        <v>1.3187820227276825E-2</v>
      </c>
    </row>
    <row r="358" spans="1:4" x14ac:dyDescent="0.35">
      <c r="A358" t="str">
        <f>Data!A359</f>
        <v>2023-05-17</v>
      </c>
      <c r="B358">
        <f>IF(OR(Data!B359="",Data!B358=""),"",Data!B359/Data!B358-1)</f>
        <v>-5.3584422658410347E-3</v>
      </c>
      <c r="C358">
        <f>IF(OR(Data!C359="",Data!C358=""),"",Data!C359/Data!C358-1)</f>
        <v>-1.8722430106217214E-3</v>
      </c>
      <c r="D358">
        <f>IF(OR(Data!D359="",Data!D358=""),"",Data!D359/Data!D358-1)</f>
        <v>4.3518596527925002E-2</v>
      </c>
    </row>
    <row r="359" spans="1:4" x14ac:dyDescent="0.35">
      <c r="A359" t="str">
        <f>Data!A360</f>
        <v>2023-05-18</v>
      </c>
      <c r="B359">
        <f>IF(OR(Data!B360="",Data!B359=""),"",Data!B360/Data!B359-1)</f>
        <v>6.8776152401104351E-3</v>
      </c>
      <c r="C359">
        <f>IF(OR(Data!C360="",Data!C359=""),"",Data!C360/Data!C359-1)</f>
        <v>-1.7699320447189582E-2</v>
      </c>
      <c r="D359">
        <f>IF(OR(Data!D360="",Data!D359=""),"",Data!D360/Data!D359-1)</f>
        <v>2.0265818344472386E-2</v>
      </c>
    </row>
    <row r="360" spans="1:4" x14ac:dyDescent="0.35">
      <c r="A360" t="str">
        <f>Data!A361</f>
        <v>2023-05-19</v>
      </c>
      <c r="B360">
        <f>IF(OR(Data!B361="",Data!B360=""),"",Data!B361/Data!B360-1)</f>
        <v>-1.6015329993087746E-2</v>
      </c>
      <c r="C360">
        <f>IF(OR(Data!C361="",Data!C360=""),"",Data!C361/Data!C360-1)</f>
        <v>9.3294162124697433E-3</v>
      </c>
      <c r="D360">
        <f>IF(OR(Data!D361="",Data!D360=""),"",Data!D361/Data!D360-1)</f>
        <v>-4.3564947208336036E-2</v>
      </c>
    </row>
    <row r="361" spans="1:4" x14ac:dyDescent="0.35">
      <c r="A361" t="str">
        <f>Data!A362</f>
        <v>2023-05-22</v>
      </c>
      <c r="B361">
        <f>IF(OR(Data!B362="",Data!B361=""),"",Data!B362/Data!B361-1)</f>
        <v>1.0845244563473466E-2</v>
      </c>
      <c r="C361">
        <f>IF(OR(Data!C362="",Data!C361=""),"",Data!C362/Data!C361-1)</f>
        <v>2.352132270157048E-2</v>
      </c>
      <c r="D361">
        <f>IF(OR(Data!D362="",Data!D361=""),"",Data!D362/Data!D361-1)</f>
        <v>3.2629431679853882E-2</v>
      </c>
    </row>
    <row r="362" spans="1:4" x14ac:dyDescent="0.35">
      <c r="A362" t="str">
        <f>Data!A363</f>
        <v>2023-05-23</v>
      </c>
      <c r="B362">
        <f>IF(OR(Data!B363="",Data!B362=""),"",Data!B363/Data!B362-1)</f>
        <v>3.1542505015278666E-2</v>
      </c>
      <c r="C362">
        <f>IF(OR(Data!C363="",Data!C362=""),"",Data!C363/Data!C362-1)</f>
        <v>1.8742198515923292E-2</v>
      </c>
      <c r="D362">
        <f>IF(OR(Data!D363="",Data!D362=""),"",Data!D363/Data!D362-1)</f>
        <v>-2.8964004971309909E-2</v>
      </c>
    </row>
    <row r="363" spans="1:4" x14ac:dyDescent="0.35">
      <c r="A363" t="str">
        <f>Data!A364</f>
        <v>2023-05-24</v>
      </c>
      <c r="B363">
        <f>IF(OR(Data!B364="",Data!B363=""),"",Data!B364/Data!B363-1)</f>
        <v>-1.7740884615321528E-3</v>
      </c>
      <c r="C363">
        <f>IF(OR(Data!C364="",Data!C363=""),"",Data!C364/Data!C363-1)</f>
        <v>-2.9095559663359083E-3</v>
      </c>
      <c r="D363">
        <f>IF(OR(Data!D364="",Data!D363=""),"",Data!D364/Data!D363-1)</f>
        <v>-1.0909249554596268E-2</v>
      </c>
    </row>
    <row r="364" spans="1:4" x14ac:dyDescent="0.35">
      <c r="A364" t="str">
        <f>Data!A365</f>
        <v>2023-05-25</v>
      </c>
      <c r="B364">
        <f>IF(OR(Data!B365="",Data!B364=""),"",Data!B365/Data!B364-1)</f>
        <v>8.4702570999233284E-3</v>
      </c>
      <c r="C364">
        <f>IF(OR(Data!C365="",Data!C364=""),"",Data!C365/Data!C364-1)</f>
        <v>2.2906537457571874E-2</v>
      </c>
      <c r="D364">
        <f>IF(OR(Data!D365="",Data!D364=""),"",Data!D365/Data!D364-1)</f>
        <v>8.0886738429615246E-3</v>
      </c>
    </row>
    <row r="365" spans="1:4" x14ac:dyDescent="0.35">
      <c r="A365" t="str">
        <f>Data!A366</f>
        <v>2023-05-26</v>
      </c>
      <c r="B365">
        <f>IF(OR(Data!B366="",Data!B365=""),"",Data!B366/Data!B365-1)</f>
        <v>1.4303926651211718E-2</v>
      </c>
      <c r="C365">
        <f>IF(OR(Data!C366="",Data!C365=""),"",Data!C366/Data!C365-1)</f>
        <v>2.5208775458458454E-3</v>
      </c>
      <c r="D365">
        <f>IF(OR(Data!D366="",Data!D365=""),"",Data!D366/Data!D365-1)</f>
        <v>6.2282563669162405E-2</v>
      </c>
    </row>
    <row r="366" spans="1:4" x14ac:dyDescent="0.35">
      <c r="A366" t="str">
        <f>Data!A367</f>
        <v>2023-05-29</v>
      </c>
      <c r="B366">
        <f>IF(OR(Data!B367="",Data!B366=""),"",Data!B367/Data!B366-1)</f>
        <v>-7.5951666098763582E-3</v>
      </c>
      <c r="C366">
        <f>IF(OR(Data!C367="",Data!C366=""),"",Data!C367/Data!C366-1)</f>
        <v>-4.7574551762331607E-3</v>
      </c>
      <c r="D366">
        <f>IF(OR(Data!D367="",Data!D366=""),"",Data!D367/Data!D366-1)</f>
        <v>9.8392538628500281E-2</v>
      </c>
    </row>
    <row r="367" spans="1:4" x14ac:dyDescent="0.35">
      <c r="A367" t="str">
        <f>Data!A368</f>
        <v>2023-05-30</v>
      </c>
      <c r="B367">
        <f>IF(OR(Data!B368="",Data!B367=""),"",Data!B368/Data!B367-1)</f>
        <v>4.893541383747424E-3</v>
      </c>
      <c r="C367">
        <f>IF(OR(Data!C368="",Data!C367=""),"",Data!C368/Data!C367-1)</f>
        <v>-8.8740062706377243E-3</v>
      </c>
      <c r="D367">
        <f>IF(OR(Data!D368="",Data!D367=""),"",Data!D368/Data!D367-1)</f>
        <v>1.8928388588347778E-2</v>
      </c>
    </row>
    <row r="368" spans="1:4" x14ac:dyDescent="0.35">
      <c r="A368" t="str">
        <f>Data!A369</f>
        <v>2023-05-31</v>
      </c>
      <c r="B368">
        <f>IF(OR(Data!B369="",Data!B368=""),"",Data!B369/Data!B368-1)</f>
        <v>6.5192725491081127E-4</v>
      </c>
      <c r="C368">
        <f>IF(OR(Data!C369="",Data!C368=""),"",Data!C369/Data!C368-1)</f>
        <v>-4.2405265227681843E-3</v>
      </c>
      <c r="D368">
        <f>IF(OR(Data!D369="",Data!D368=""),"",Data!D369/Data!D368-1)</f>
        <v>-4.9336144236116208E-3</v>
      </c>
    </row>
    <row r="369" spans="1:4" x14ac:dyDescent="0.35">
      <c r="A369" t="str">
        <f>Data!A370</f>
        <v>2023-06-01</v>
      </c>
      <c r="B369">
        <f>IF(OR(Data!B370="",Data!B369=""),"",Data!B370/Data!B369-1)</f>
        <v>2.3563614107566799E-3</v>
      </c>
      <c r="C369">
        <f>IF(OR(Data!C370="",Data!C369=""),"",Data!C370/Data!C369-1)</f>
        <v>-5.519974200930533E-3</v>
      </c>
      <c r="D369">
        <f>IF(OR(Data!D370="",Data!D369=""),"",Data!D370/Data!D369-1)</f>
        <v>1.6723505170139541E-2</v>
      </c>
    </row>
    <row r="370" spans="1:4" x14ac:dyDescent="0.35">
      <c r="A370" t="str">
        <f>Data!A371</f>
        <v>2023-06-02</v>
      </c>
      <c r="B370">
        <f>IF(OR(Data!B371="",Data!B370=""),"",Data!B371/Data!B370-1)</f>
        <v>-1.4946921716662454E-2</v>
      </c>
      <c r="C370">
        <f>IF(OR(Data!C371="",Data!C370=""),"",Data!C371/Data!C370-1)</f>
        <v>2.8477386058194387E-3</v>
      </c>
      <c r="D370">
        <f>IF(OR(Data!D371="",Data!D370=""),"",Data!D371/Data!D370-1)</f>
        <v>2.7552572975845679E-2</v>
      </c>
    </row>
    <row r="371" spans="1:4" x14ac:dyDescent="0.35">
      <c r="A371" t="str">
        <f>Data!A372</f>
        <v>2023-06-05</v>
      </c>
      <c r="B371">
        <f>IF(OR(Data!B372="",Data!B371=""),"",Data!B372/Data!B371-1)</f>
        <v>8.9065279466793434E-4</v>
      </c>
      <c r="C371">
        <f>IF(OR(Data!C372="",Data!C371=""),"",Data!C372/Data!C371-1)</f>
        <v>2.6997656384257773E-3</v>
      </c>
      <c r="D371">
        <f>IF(OR(Data!D372="",Data!D371=""),"",Data!D372/Data!D371-1)</f>
        <v>-9.0293827234603219E-3</v>
      </c>
    </row>
    <row r="372" spans="1:4" x14ac:dyDescent="0.35">
      <c r="A372" t="str">
        <f>Data!A373</f>
        <v>2023-06-06</v>
      </c>
      <c r="B372">
        <f>IF(OR(Data!B373="",Data!B372=""),"",Data!B373/Data!B372-1)</f>
        <v>1.0413483501322984E-2</v>
      </c>
      <c r="C372">
        <f>IF(OR(Data!C373="",Data!C372=""),"",Data!C373/Data!C372-1)</f>
        <v>3.3325026225350385E-4</v>
      </c>
      <c r="D372">
        <f>IF(OR(Data!D373="",Data!D372=""),"",Data!D373/Data!D372-1)</f>
        <v>5.5913683714309048E-2</v>
      </c>
    </row>
    <row r="373" spans="1:4" x14ac:dyDescent="0.35">
      <c r="A373" t="str">
        <f>Data!A374</f>
        <v>2023-06-07</v>
      </c>
      <c r="B373">
        <f>IF(OR(Data!B374="",Data!B373=""),"",Data!B374/Data!B373-1)</f>
        <v>2.9860363985941163E-2</v>
      </c>
      <c r="C373">
        <f>IF(OR(Data!C374="",Data!C373=""),"",Data!C374/Data!C373-1)</f>
        <v>6.8651514417894521E-3</v>
      </c>
      <c r="D373">
        <f>IF(OR(Data!D374="",Data!D373=""),"",Data!D374/Data!D373-1)</f>
        <v>7.4799596655861222E-3</v>
      </c>
    </row>
    <row r="374" spans="1:4" x14ac:dyDescent="0.35">
      <c r="A374" t="str">
        <f>Data!A375</f>
        <v>2023-06-08</v>
      </c>
      <c r="B374">
        <f>IF(OR(Data!B375="",Data!B374=""),"",Data!B375/Data!B374-1)</f>
        <v>1.9778176814833515E-2</v>
      </c>
      <c r="C374">
        <f>IF(OR(Data!C375="",Data!C374=""),"",Data!C375/Data!C374-1)</f>
        <v>1.8312812680333135E-2</v>
      </c>
      <c r="D374">
        <f>IF(OR(Data!D375="",Data!D374=""),"",Data!D375/Data!D374-1)</f>
        <v>1.5602973566271938E-2</v>
      </c>
    </row>
    <row r="375" spans="1:4" x14ac:dyDescent="0.35">
      <c r="A375" t="str">
        <f>Data!A376</f>
        <v>2023-06-09</v>
      </c>
      <c r="B375">
        <f>IF(OR(Data!B376="",Data!B375=""),"",Data!B376/Data!B375-1)</f>
        <v>4.4421867596771358E-2</v>
      </c>
      <c r="C375">
        <f>IF(OR(Data!C376="",Data!C375=""),"",Data!C376/Data!C375-1)</f>
        <v>1.4637034716944219E-2</v>
      </c>
      <c r="D375">
        <f>IF(OR(Data!D376="",Data!D375=""),"",Data!D376/Data!D375-1)</f>
        <v>2.0739647607491696E-2</v>
      </c>
    </row>
    <row r="376" spans="1:4" x14ac:dyDescent="0.35">
      <c r="A376" t="str">
        <f>Data!A377</f>
        <v>2023-06-12</v>
      </c>
      <c r="B376">
        <f>IF(OR(Data!B377="",Data!B376=""),"",Data!B377/Data!B376-1)</f>
        <v>-1.4835309462923107E-2</v>
      </c>
      <c r="C376">
        <f>IF(OR(Data!C377="",Data!C376=""),"",Data!C377/Data!C376-1)</f>
        <v>-2.1746230331189831E-2</v>
      </c>
      <c r="D376">
        <f>IF(OR(Data!D377="",Data!D376=""),"",Data!D377/Data!D376-1)</f>
        <v>1.3285296738762664E-2</v>
      </c>
    </row>
    <row r="377" spans="1:4" x14ac:dyDescent="0.35">
      <c r="A377" t="str">
        <f>Data!A378</f>
        <v>2023-06-13</v>
      </c>
      <c r="B377">
        <f>IF(OR(Data!B378="",Data!B377=""),"",Data!B378/Data!B377-1)</f>
        <v>1.8005969151176027E-2</v>
      </c>
      <c r="C377">
        <f>IF(OR(Data!C378="",Data!C377=""),"",Data!C378/Data!C377-1)</f>
        <v>-3.7307621457666862E-2</v>
      </c>
      <c r="D377">
        <f>IF(OR(Data!D378="",Data!D377=""),"",Data!D378/Data!D377-1)</f>
        <v>2.6051606303174379E-2</v>
      </c>
    </row>
    <row r="378" spans="1:4" x14ac:dyDescent="0.35">
      <c r="A378" t="str">
        <f>Data!A379</f>
        <v>2023-06-14</v>
      </c>
      <c r="B378">
        <f>IF(OR(Data!B379="",Data!B378=""),"",Data!B379/Data!B378-1)</f>
        <v>4.0754683782804335E-3</v>
      </c>
      <c r="C378">
        <f>IF(OR(Data!C379="",Data!C378=""),"",Data!C379/Data!C378-1)</f>
        <v>1.4405230370481803E-2</v>
      </c>
      <c r="D378">
        <f>IF(OR(Data!D379="",Data!D378=""),"",Data!D379/Data!D378-1)</f>
        <v>-1.7807074671518985E-2</v>
      </c>
    </row>
    <row r="379" spans="1:4" x14ac:dyDescent="0.35">
      <c r="A379" t="str">
        <f>Data!A380</f>
        <v>2023-06-15</v>
      </c>
      <c r="B379">
        <f>IF(OR(Data!B380="",Data!B379=""),"",Data!B380/Data!B379-1)</f>
        <v>4.5187043562450624E-2</v>
      </c>
      <c r="C379">
        <f>IF(OR(Data!C380="",Data!C379=""),"",Data!C380/Data!C379-1)</f>
        <v>-2.0012850264438109E-2</v>
      </c>
      <c r="D379">
        <f>IF(OR(Data!D380="",Data!D379=""),"",Data!D380/Data!D379-1)</f>
        <v>-1.6068663348020817E-2</v>
      </c>
    </row>
    <row r="380" spans="1:4" x14ac:dyDescent="0.35">
      <c r="A380" t="str">
        <f>Data!A381</f>
        <v>2023-06-16</v>
      </c>
      <c r="B380">
        <f>IF(OR(Data!B381="",Data!B380=""),"",Data!B381/Data!B380-1)</f>
        <v>-1.5642060803612412E-2</v>
      </c>
      <c r="C380">
        <f>IF(OR(Data!C381="",Data!C380=""),"",Data!C381/Data!C380-1)</f>
        <v>-3.0788894242740339E-3</v>
      </c>
      <c r="D380">
        <f>IF(OR(Data!D381="",Data!D380=""),"",Data!D381/Data!D380-1)</f>
        <v>-3.1933604735390086E-2</v>
      </c>
    </row>
    <row r="381" spans="1:4" x14ac:dyDescent="0.35">
      <c r="A381" t="str">
        <f>Data!A382</f>
        <v>2023-06-19</v>
      </c>
      <c r="B381">
        <f>IF(OR(Data!B382="",Data!B381=""),"",Data!B382/Data!B381-1)</f>
        <v>-1.6261080003122652E-2</v>
      </c>
      <c r="C381">
        <f>IF(OR(Data!C382="",Data!C381=""),"",Data!C382/Data!C381-1)</f>
        <v>-1.7116187878271294E-2</v>
      </c>
      <c r="D381">
        <f>IF(OR(Data!D382="",Data!D381=""),"",Data!D382/Data!D381-1)</f>
        <v>1.3829742562042835E-2</v>
      </c>
    </row>
    <row r="382" spans="1:4" x14ac:dyDescent="0.35">
      <c r="A382" t="str">
        <f>Data!A383</f>
        <v>2023-06-20</v>
      </c>
      <c r="B382">
        <f>IF(OR(Data!B383="",Data!B382=""),"",Data!B383/Data!B382-1)</f>
        <v>-1.1521061467063332E-2</v>
      </c>
      <c r="C382">
        <f>IF(OR(Data!C383="",Data!C382=""),"",Data!C383/Data!C382-1)</f>
        <v>-2.6387637345720472E-2</v>
      </c>
      <c r="D382">
        <f>IF(OR(Data!D383="",Data!D382=""),"",Data!D383/Data!D382-1)</f>
        <v>2.4206471626647463E-2</v>
      </c>
    </row>
    <row r="383" spans="1:4" x14ac:dyDescent="0.35">
      <c r="A383" t="str">
        <f>Data!A384</f>
        <v>2023-06-21</v>
      </c>
      <c r="B383">
        <f>IF(OR(Data!B384="",Data!B383=""),"",Data!B384/Data!B383-1)</f>
        <v>-4.1204594701307218E-2</v>
      </c>
      <c r="C383">
        <f>IF(OR(Data!C384="",Data!C383=""),"",Data!C384/Data!C383-1)</f>
        <v>8.4447158393206045E-3</v>
      </c>
      <c r="D383">
        <f>IF(OR(Data!D384="",Data!D383=""),"",Data!D384/Data!D383-1)</f>
        <v>1.4385818124771133E-2</v>
      </c>
    </row>
    <row r="384" spans="1:4" x14ac:dyDescent="0.35">
      <c r="A384" t="str">
        <f>Data!A385</f>
        <v>2023-06-22</v>
      </c>
      <c r="B384">
        <f>IF(OR(Data!B385="",Data!B384=""),"",Data!B385/Data!B384-1)</f>
        <v>-1.0064480573999557E-2</v>
      </c>
      <c r="C384">
        <f>IF(OR(Data!C385="",Data!C384=""),"",Data!C385/Data!C384-1)</f>
        <v>1.1743033039757655E-2</v>
      </c>
      <c r="D384">
        <f>IF(OR(Data!D385="",Data!D384=""),"",Data!D385/Data!D384-1)</f>
        <v>5.20965111703382E-2</v>
      </c>
    </row>
    <row r="385" spans="1:4" x14ac:dyDescent="0.35">
      <c r="A385" t="str">
        <f>Data!A386</f>
        <v>2023-06-23</v>
      </c>
      <c r="B385">
        <f>IF(OR(Data!B386="",Data!B385=""),"",Data!B386/Data!B385-1)</f>
        <v>-1.4673508101071375E-2</v>
      </c>
      <c r="C385">
        <f>IF(OR(Data!C386="",Data!C385=""),"",Data!C386/Data!C385-1)</f>
        <v>-8.3252609747335171E-3</v>
      </c>
      <c r="D385">
        <f>IF(OR(Data!D386="",Data!D385=""),"",Data!D386/Data!D385-1)</f>
        <v>3.8219044778653455E-4</v>
      </c>
    </row>
    <row r="386" spans="1:4" x14ac:dyDescent="0.35">
      <c r="A386" t="str">
        <f>Data!A387</f>
        <v>2023-06-26</v>
      </c>
      <c r="B386">
        <f>IF(OR(Data!B387="",Data!B386=""),"",Data!B387/Data!B386-1)</f>
        <v>3.413390103509828E-3</v>
      </c>
      <c r="C386">
        <f>IF(OR(Data!C387="",Data!C386=""),"",Data!C387/Data!C386-1)</f>
        <v>-3.7843558125571164E-2</v>
      </c>
      <c r="D386">
        <f>IF(OR(Data!D387="",Data!D386=""),"",Data!D387/Data!D386-1)</f>
        <v>2.0825993127771669E-2</v>
      </c>
    </row>
    <row r="387" spans="1:4" x14ac:dyDescent="0.35">
      <c r="A387" t="str">
        <f>Data!A388</f>
        <v>2023-06-27</v>
      </c>
      <c r="B387">
        <f>IF(OR(Data!B388="",Data!B387=""),"",Data!B388/Data!B387-1)</f>
        <v>7.2616382977730431E-3</v>
      </c>
      <c r="C387">
        <f>IF(OR(Data!C388="",Data!C387=""),"",Data!C388/Data!C387-1)</f>
        <v>-7.8748227112594993E-3</v>
      </c>
      <c r="D387">
        <f>IF(OR(Data!D388="",Data!D387=""),"",Data!D388/Data!D387-1)</f>
        <v>-3.1688124750099966E-2</v>
      </c>
    </row>
    <row r="388" spans="1:4" x14ac:dyDescent="0.35">
      <c r="A388" t="str">
        <f>Data!A389</f>
        <v>2023-06-28</v>
      </c>
      <c r="B388">
        <f>IF(OR(Data!B389="",Data!B388=""),"",Data!B389/Data!B388-1)</f>
        <v>3.8651569141440856E-2</v>
      </c>
      <c r="C388">
        <f>IF(OR(Data!C389="",Data!C388=""),"",Data!C389/Data!C388-1)</f>
        <v>6.183571225665041E-3</v>
      </c>
      <c r="D388">
        <f>IF(OR(Data!D389="",Data!D388=""),"",Data!D389/Data!D388-1)</f>
        <v>-1.1001970477522938E-2</v>
      </c>
    </row>
    <row r="389" spans="1:4" x14ac:dyDescent="0.35">
      <c r="A389" t="str">
        <f>Data!A390</f>
        <v>2023-06-29</v>
      </c>
      <c r="B389">
        <f>IF(OR(Data!B390="",Data!B389=""),"",Data!B390/Data!B389-1)</f>
        <v>1.9597916731713072E-2</v>
      </c>
      <c r="C389">
        <f>IF(OR(Data!C390="",Data!C389=""),"",Data!C390/Data!C389-1)</f>
        <v>-2.165821759688924E-2</v>
      </c>
      <c r="D389">
        <f>IF(OR(Data!D390="",Data!D389=""),"",Data!D390/Data!D389-1)</f>
        <v>2.1647160206822003E-2</v>
      </c>
    </row>
    <row r="390" spans="1:4" x14ac:dyDescent="0.35">
      <c r="A390" t="str">
        <f>Data!A391</f>
        <v>2023-06-30</v>
      </c>
      <c r="B390">
        <f>IF(OR(Data!B391="",Data!B390=""),"",Data!B391/Data!B390-1)</f>
        <v>-1.1075733637027185E-2</v>
      </c>
      <c r="C390">
        <f>IF(OR(Data!C391="",Data!C390=""),"",Data!C391/Data!C390-1)</f>
        <v>3.0426661907083652E-3</v>
      </c>
      <c r="D390">
        <f>IF(OR(Data!D391="",Data!D390=""),"",Data!D391/Data!D390-1)</f>
        <v>2.6364563379931649E-2</v>
      </c>
    </row>
    <row r="391" spans="1:4" x14ac:dyDescent="0.35">
      <c r="A391" t="str">
        <f>Data!A392</f>
        <v>2023-07-03</v>
      </c>
      <c r="B391">
        <f>IF(OR(Data!B392="",Data!B391=""),"",Data!B392/Data!B391-1)</f>
        <v>-1.741491603298817E-2</v>
      </c>
      <c r="C391">
        <f>IF(OR(Data!C392="",Data!C391=""),"",Data!C392/Data!C391-1)</f>
        <v>5.7913182534896634E-5</v>
      </c>
      <c r="D391">
        <f>IF(OR(Data!D392="",Data!D391=""),"",Data!D392/Data!D391-1)</f>
        <v>-8.2348781427883377E-3</v>
      </c>
    </row>
    <row r="392" spans="1:4" x14ac:dyDescent="0.35">
      <c r="A392" t="str">
        <f>Data!A393</f>
        <v>2023-07-04</v>
      </c>
      <c r="B392">
        <f>IF(OR(Data!B393="",Data!B392=""),"",Data!B393/Data!B392-1)</f>
        <v>1.0290790811445572E-2</v>
      </c>
      <c r="C392">
        <f>IF(OR(Data!C393="",Data!C392=""),"",Data!C393/Data!C392-1)</f>
        <v>9.0171207606737358E-3</v>
      </c>
      <c r="D392">
        <f>IF(OR(Data!D393="",Data!D392=""),"",Data!D393/Data!D392-1)</f>
        <v>-1.5966067529623595E-3</v>
      </c>
    </row>
    <row r="393" spans="1:4" x14ac:dyDescent="0.35">
      <c r="A393" t="str">
        <f>Data!A394</f>
        <v>2023-07-05</v>
      </c>
      <c r="B393">
        <f>IF(OR(Data!B394="",Data!B393=""),"",Data!B394/Data!B393-1)</f>
        <v>-2.566953344325118E-2</v>
      </c>
      <c r="C393">
        <f>IF(OR(Data!C394="",Data!C393=""),"",Data!C394/Data!C393-1)</f>
        <v>2.0832484791035721E-3</v>
      </c>
      <c r="D393">
        <f>IF(OR(Data!D394="",Data!D393=""),"",Data!D394/Data!D393-1)</f>
        <v>-4.3989606586055774E-2</v>
      </c>
    </row>
    <row r="394" spans="1:4" x14ac:dyDescent="0.35">
      <c r="A394" t="str">
        <f>Data!A395</f>
        <v>2023-07-06</v>
      </c>
      <c r="B394">
        <f>IF(OR(Data!B395="",Data!B394=""),"",Data!B395/Data!B394-1)</f>
        <v>3.7723235894281393E-2</v>
      </c>
      <c r="C394">
        <f>IF(OR(Data!C395="",Data!C394=""),"",Data!C395/Data!C394-1)</f>
        <v>-1.420647563657329E-2</v>
      </c>
      <c r="D394">
        <f>IF(OR(Data!D395="",Data!D394=""),"",Data!D395/Data!D394-1)</f>
        <v>-1.0109143892602424E-2</v>
      </c>
    </row>
    <row r="395" spans="1:4" x14ac:dyDescent="0.35">
      <c r="A395" t="str">
        <f>Data!A396</f>
        <v>2023-07-07</v>
      </c>
      <c r="B395">
        <f>IF(OR(Data!B396="",Data!B395=""),"",Data!B396/Data!B395-1)</f>
        <v>2.4278933381127965E-2</v>
      </c>
      <c r="C395">
        <f>IF(OR(Data!C396="",Data!C395=""),"",Data!C396/Data!C395-1)</f>
        <v>1.8403597226458679E-2</v>
      </c>
      <c r="D395">
        <f>IF(OR(Data!D396="",Data!D395=""),"",Data!D396/Data!D395-1)</f>
        <v>2.7636184644169282E-2</v>
      </c>
    </row>
    <row r="396" spans="1:4" x14ac:dyDescent="0.35">
      <c r="A396" t="str">
        <f>Data!A397</f>
        <v>2023-07-10</v>
      </c>
      <c r="B396">
        <f>IF(OR(Data!B397="",Data!B396=""),"",Data!B397/Data!B396-1)</f>
        <v>-8.9433815319279741E-3</v>
      </c>
      <c r="C396">
        <f>IF(OR(Data!C397="",Data!C396=""),"",Data!C397/Data!C396-1)</f>
        <v>-2.0887103823628017E-3</v>
      </c>
      <c r="D396">
        <f>IF(OR(Data!D397="",Data!D396=""),"",Data!D397/Data!D396-1)</f>
        <v>1.7965803082413245E-2</v>
      </c>
    </row>
    <row r="397" spans="1:4" x14ac:dyDescent="0.35">
      <c r="A397" t="str">
        <f>Data!A398</f>
        <v>2023-07-11</v>
      </c>
      <c r="B397">
        <f>IF(OR(Data!B398="",Data!B397=""),"",Data!B398/Data!B397-1)</f>
        <v>-3.329599527630156E-2</v>
      </c>
      <c r="C397">
        <f>IF(OR(Data!C398="",Data!C397=""),"",Data!C398/Data!C397-1)</f>
        <v>-1.2171227034873944E-4</v>
      </c>
      <c r="D397">
        <f>IF(OR(Data!D398="",Data!D397=""),"",Data!D398/Data!D397-1)</f>
        <v>1.5691839554523135E-2</v>
      </c>
    </row>
    <row r="398" spans="1:4" x14ac:dyDescent="0.35">
      <c r="A398" t="str">
        <f>Data!A399</f>
        <v>2023-07-12</v>
      </c>
      <c r="B398">
        <f>IF(OR(Data!B399="",Data!B398=""),"",Data!B399/Data!B398-1)</f>
        <v>2.7858743639376904E-2</v>
      </c>
      <c r="C398">
        <f>IF(OR(Data!C399="",Data!C398=""),"",Data!C399/Data!C398-1)</f>
        <v>-1.3618217749469141E-2</v>
      </c>
      <c r="D398">
        <f>IF(OR(Data!D399="",Data!D398=""),"",Data!D399/Data!D398-1)</f>
        <v>2.0453535473430318E-3</v>
      </c>
    </row>
    <row r="399" spans="1:4" x14ac:dyDescent="0.35">
      <c r="A399" t="str">
        <f>Data!A400</f>
        <v>2023-07-13</v>
      </c>
      <c r="B399">
        <f>IF(OR(Data!B400="",Data!B399=""),"",Data!B400/Data!B399-1)</f>
        <v>-1.8890568697877974E-3</v>
      </c>
      <c r="C399">
        <f>IF(OR(Data!C400="",Data!C399=""),"",Data!C400/Data!C399-1)</f>
        <v>-6.341471851596614E-3</v>
      </c>
      <c r="D399">
        <f>IF(OR(Data!D400="",Data!D399=""),"",Data!D400/Data!D399-1)</f>
        <v>7.6212941576891957E-4</v>
      </c>
    </row>
    <row r="400" spans="1:4" x14ac:dyDescent="0.35">
      <c r="A400" t="str">
        <f>Data!A401</f>
        <v>2023-07-14</v>
      </c>
      <c r="B400">
        <f>IF(OR(Data!B401="",Data!B400=""),"",Data!B401/Data!B400-1)</f>
        <v>2.5475383378399608E-2</v>
      </c>
      <c r="C400">
        <f>IF(OR(Data!C401="",Data!C400=""),"",Data!C401/Data!C400-1)</f>
        <v>-1.2900312134676573E-2</v>
      </c>
      <c r="D400">
        <f>IF(OR(Data!D401="",Data!D400=""),"",Data!D401/Data!D400-1)</f>
        <v>-1.9075415047404509E-2</v>
      </c>
    </row>
    <row r="401" spans="1:4" x14ac:dyDescent="0.35">
      <c r="A401" t="str">
        <f>Data!A402</f>
        <v>2023-07-17</v>
      </c>
      <c r="B401">
        <f>IF(OR(Data!B402="",Data!B401=""),"",Data!B402/Data!B401-1)</f>
        <v>-3.0997642110176082E-2</v>
      </c>
      <c r="C401">
        <f>IF(OR(Data!C402="",Data!C401=""),"",Data!C402/Data!C401-1)</f>
        <v>-2.3042869268532495E-3</v>
      </c>
      <c r="D401">
        <f>IF(OR(Data!D402="",Data!D401=""),"",Data!D402/Data!D401-1)</f>
        <v>2.1748117078876028E-2</v>
      </c>
    </row>
    <row r="402" spans="1:4" x14ac:dyDescent="0.35">
      <c r="A402" t="str">
        <f>Data!A403</f>
        <v>2023-07-18</v>
      </c>
      <c r="B402">
        <f>IF(OR(Data!B403="",Data!B402=""),"",Data!B403/Data!B402-1)</f>
        <v>-1.1521175510875392E-2</v>
      </c>
      <c r="C402">
        <f>IF(OR(Data!C403="",Data!C402=""),"",Data!C403/Data!C402-1)</f>
        <v>2.6303269087831094E-2</v>
      </c>
      <c r="D402">
        <f>IF(OR(Data!D403="",Data!D402=""),"",Data!D403/Data!D402-1)</f>
        <v>1.3266366977581878E-2</v>
      </c>
    </row>
    <row r="403" spans="1:4" x14ac:dyDescent="0.35">
      <c r="A403" t="str">
        <f>Data!A404</f>
        <v>2023-07-19</v>
      </c>
      <c r="B403">
        <f>IF(OR(Data!B404="",Data!B403=""),"",Data!B404/Data!B403-1)</f>
        <v>5.0511203087699741E-4</v>
      </c>
      <c r="C403">
        <f>IF(OR(Data!C404="",Data!C403=""),"",Data!C404/Data!C403-1)</f>
        <v>-2.0086646820188236E-2</v>
      </c>
      <c r="D403">
        <f>IF(OR(Data!D404="",Data!D403=""),"",Data!D404/Data!D403-1)</f>
        <v>1.5428408427615947E-2</v>
      </c>
    </row>
    <row r="404" spans="1:4" x14ac:dyDescent="0.35">
      <c r="A404" t="str">
        <f>Data!A405</f>
        <v>2023-07-20</v>
      </c>
      <c r="B404">
        <f>IF(OR(Data!B405="",Data!B404=""),"",Data!B405/Data!B404-1)</f>
        <v>1.3408408542181505E-3</v>
      </c>
      <c r="C404">
        <f>IF(OR(Data!C405="",Data!C404=""),"",Data!C405/Data!C404-1)</f>
        <v>-2.3632332321301686E-2</v>
      </c>
      <c r="D404">
        <f>IF(OR(Data!D405="",Data!D404=""),"",Data!D405/Data!D404-1)</f>
        <v>-1.5115716069072138E-2</v>
      </c>
    </row>
    <row r="405" spans="1:4" x14ac:dyDescent="0.35">
      <c r="A405" t="str">
        <f>Data!A406</f>
        <v>2023-07-21</v>
      </c>
      <c r="B405">
        <f>IF(OR(Data!B406="",Data!B405=""),"",Data!B406/Data!B405-1)</f>
        <v>-8.5644039320186272E-3</v>
      </c>
      <c r="C405">
        <f>IF(OR(Data!C406="",Data!C405=""),"",Data!C406/Data!C405-1)</f>
        <v>2.2606736194420884E-2</v>
      </c>
      <c r="D405">
        <f>IF(OR(Data!D406="",Data!D405=""),"",Data!D406/Data!D405-1)</f>
        <v>-6.2042333889446133E-2</v>
      </c>
    </row>
    <row r="406" spans="1:4" x14ac:dyDescent="0.35">
      <c r="A406" t="str">
        <f>Data!A407</f>
        <v>2023-07-24</v>
      </c>
      <c r="B406">
        <f>IF(OR(Data!B407="",Data!B406=""),"",Data!B407/Data!B406-1)</f>
        <v>1.2940005429372903E-2</v>
      </c>
      <c r="C406">
        <f>IF(OR(Data!C407="",Data!C406=""),"",Data!C407/Data!C406-1)</f>
        <v>-2.8481693126525265E-3</v>
      </c>
      <c r="D406">
        <f>IF(OR(Data!D407="",Data!D406=""),"",Data!D407/Data!D406-1)</f>
        <v>3.403093404637314E-2</v>
      </c>
    </row>
    <row r="407" spans="1:4" x14ac:dyDescent="0.35">
      <c r="A407" t="str">
        <f>Data!A408</f>
        <v>2023-07-25</v>
      </c>
      <c r="B407">
        <f>IF(OR(Data!B408="",Data!B407=""),"",Data!B408/Data!B407-1)</f>
        <v>-2.0734248128793764E-2</v>
      </c>
      <c r="C407">
        <f>IF(OR(Data!C408="",Data!C407=""),"",Data!C408/Data!C407-1)</f>
        <v>-9.7010350346959928E-3</v>
      </c>
      <c r="D407">
        <f>IF(OR(Data!D408="",Data!D407=""),"",Data!D408/Data!D407-1)</f>
        <v>-1.3720099730721746E-2</v>
      </c>
    </row>
    <row r="408" spans="1:4" x14ac:dyDescent="0.35">
      <c r="A408" t="str">
        <f>Data!A409</f>
        <v>2023-07-26</v>
      </c>
      <c r="B408">
        <f>IF(OR(Data!B409="",Data!B408=""),"",Data!B409/Data!B408-1)</f>
        <v>-2.444982245041194E-3</v>
      </c>
      <c r="C408">
        <f>IF(OR(Data!C409="",Data!C408=""),"",Data!C409/Data!C408-1)</f>
        <v>1.6012672162240671E-2</v>
      </c>
      <c r="D408">
        <f>IF(OR(Data!D409="",Data!D408=""),"",Data!D409/Data!D408-1)</f>
        <v>-2.5015163441705623E-2</v>
      </c>
    </row>
    <row r="409" spans="1:4" x14ac:dyDescent="0.35">
      <c r="A409" t="str">
        <f>Data!A410</f>
        <v>2023-07-27</v>
      </c>
      <c r="B409">
        <f>IF(OR(Data!B410="",Data!B409=""),"",Data!B410/Data!B409-1)</f>
        <v>2.8099674488171189E-3</v>
      </c>
      <c r="C409">
        <f>IF(OR(Data!C410="",Data!C409=""),"",Data!C410/Data!C409-1)</f>
        <v>-8.7578338041004455E-3</v>
      </c>
      <c r="D409">
        <f>IF(OR(Data!D410="",Data!D409=""),"",Data!D410/Data!D409-1)</f>
        <v>2.1584194965405645E-2</v>
      </c>
    </row>
    <row r="410" spans="1:4" x14ac:dyDescent="0.35">
      <c r="A410" t="str">
        <f>Data!A411</f>
        <v>2023-07-28</v>
      </c>
      <c r="B410">
        <f>IF(OR(Data!B411="",Data!B410=""),"",Data!B411/Data!B410-1)</f>
        <v>1.0746383392432612E-2</v>
      </c>
      <c r="C410">
        <f>IF(OR(Data!C411="",Data!C410=""),"",Data!C411/Data!C410-1)</f>
        <v>2.806411292232136E-2</v>
      </c>
      <c r="D410">
        <f>IF(OR(Data!D411="",Data!D410=""),"",Data!D411/Data!D410-1)</f>
        <v>-1.1147814040007864E-2</v>
      </c>
    </row>
    <row r="411" spans="1:4" x14ac:dyDescent="0.35">
      <c r="A411" t="str">
        <f>Data!A412</f>
        <v>2023-07-31</v>
      </c>
      <c r="B411">
        <f>IF(OR(Data!B412="",Data!B411=""),"",Data!B412/Data!B411-1)</f>
        <v>1.4739129267688833E-2</v>
      </c>
      <c r="C411">
        <f>IF(OR(Data!C412="",Data!C411=""),"",Data!C412/Data!C411-1)</f>
        <v>1.051104916462986E-2</v>
      </c>
      <c r="D411">
        <f>IF(OR(Data!D412="",Data!D411=""),"",Data!D412/Data!D411-1)</f>
        <v>3.2876896849844961E-2</v>
      </c>
    </row>
    <row r="412" spans="1:4" x14ac:dyDescent="0.35">
      <c r="A412" t="str">
        <f>Data!A413</f>
        <v>2023-08-01</v>
      </c>
      <c r="B412">
        <f>IF(OR(Data!B413="",Data!B412=""),"",Data!B413/Data!B412-1)</f>
        <v>-2.1850390663175845E-2</v>
      </c>
      <c r="C412">
        <f>IF(OR(Data!C413="",Data!C412=""),"",Data!C413/Data!C412-1)</f>
        <v>-7.0063087168592553E-3</v>
      </c>
      <c r="D412">
        <f>IF(OR(Data!D413="",Data!D412=""),"",Data!D413/Data!D412-1)</f>
        <v>1.9242992328562636E-2</v>
      </c>
    </row>
    <row r="413" spans="1:4" x14ac:dyDescent="0.35">
      <c r="A413" t="str">
        <f>Data!A414</f>
        <v>2023-08-02</v>
      </c>
      <c r="B413">
        <f>IF(OR(Data!B414="",Data!B413=""),"",Data!B414/Data!B413-1)</f>
        <v>-2.9828231873823774E-2</v>
      </c>
      <c r="C413">
        <f>IF(OR(Data!C414="",Data!C413=""),"",Data!C414/Data!C413-1)</f>
        <v>3.3186014084591875E-2</v>
      </c>
      <c r="D413">
        <f>IF(OR(Data!D414="",Data!D413=""),"",Data!D414/Data!D413-1)</f>
        <v>2.1280349089950912E-2</v>
      </c>
    </row>
    <row r="414" spans="1:4" x14ac:dyDescent="0.35">
      <c r="A414" t="str">
        <f>Data!A415</f>
        <v>2023-08-03</v>
      </c>
      <c r="B414">
        <f>IF(OR(Data!B415="",Data!B414=""),"",Data!B415/Data!B414-1)</f>
        <v>2.6292946914667104E-2</v>
      </c>
      <c r="C414">
        <f>IF(OR(Data!C415="",Data!C414=""),"",Data!C415/Data!C414-1)</f>
        <v>-8.7598985327461687E-3</v>
      </c>
      <c r="D414">
        <f>IF(OR(Data!D415="",Data!D414=""),"",Data!D415/Data!D414-1)</f>
        <v>-3.9622484113823964E-2</v>
      </c>
    </row>
    <row r="415" spans="1:4" x14ac:dyDescent="0.35">
      <c r="A415" t="str">
        <f>Data!A416</f>
        <v>2023-08-04</v>
      </c>
      <c r="B415">
        <f>IF(OR(Data!B416="",Data!B415=""),"",Data!B416/Data!B415-1)</f>
        <v>7.0718006948817802E-3</v>
      </c>
      <c r="C415">
        <f>IF(OR(Data!C416="",Data!C415=""),"",Data!C416/Data!C415-1)</f>
        <v>1.1484250132437479E-2</v>
      </c>
      <c r="D415">
        <f>IF(OR(Data!D416="",Data!D415=""),"",Data!D416/Data!D415-1)</f>
        <v>3.75980419065578E-2</v>
      </c>
    </row>
    <row r="416" spans="1:4" x14ac:dyDescent="0.35">
      <c r="A416" t="str">
        <f>Data!A417</f>
        <v>2023-08-07</v>
      </c>
      <c r="B416">
        <f>IF(OR(Data!B417="",Data!B416=""),"",Data!B417/Data!B416-1)</f>
        <v>-1.4464577630137754E-2</v>
      </c>
      <c r="C416">
        <f>IF(OR(Data!C417="",Data!C416=""),"",Data!C417/Data!C416-1)</f>
        <v>4.7883707542770715E-3</v>
      </c>
      <c r="D416">
        <f>IF(OR(Data!D417="",Data!D416=""),"",Data!D417/Data!D416-1)</f>
        <v>8.4227344431488937E-3</v>
      </c>
    </row>
    <row r="417" spans="1:4" x14ac:dyDescent="0.35">
      <c r="A417" t="str">
        <f>Data!A418</f>
        <v>2023-08-08</v>
      </c>
      <c r="B417">
        <f>IF(OR(Data!B418="",Data!B417=""),"",Data!B418/Data!B417-1)</f>
        <v>3.192240649926914E-2</v>
      </c>
      <c r="C417">
        <f>IF(OR(Data!C418="",Data!C417=""),"",Data!C418/Data!C417-1)</f>
        <v>2.0011128678801171E-2</v>
      </c>
      <c r="D417">
        <f>IF(OR(Data!D418="",Data!D417=""),"",Data!D418/Data!D417-1)</f>
        <v>-1.0473115598359617E-2</v>
      </c>
    </row>
    <row r="418" spans="1:4" x14ac:dyDescent="0.35">
      <c r="A418" t="str">
        <f>Data!A419</f>
        <v>2023-08-09</v>
      </c>
      <c r="B418">
        <f>IF(OR(Data!B419="",Data!B418=""),"",Data!B419/Data!B418-1)</f>
        <v>2.7168307962495142E-3</v>
      </c>
      <c r="C418">
        <f>IF(OR(Data!C419="",Data!C418=""),"",Data!C419/Data!C418-1)</f>
        <v>2.3993598795231774E-2</v>
      </c>
      <c r="D418">
        <f>IF(OR(Data!D419="",Data!D418=""),"",Data!D419/Data!D418-1)</f>
        <v>4.8636266531105754E-3</v>
      </c>
    </row>
    <row r="419" spans="1:4" x14ac:dyDescent="0.35">
      <c r="A419" t="str">
        <f>Data!A420</f>
        <v>2023-08-10</v>
      </c>
      <c r="B419">
        <f>IF(OR(Data!B420="",Data!B419=""),"",Data!B420/Data!B419-1)</f>
        <v>2.4275760532255219E-2</v>
      </c>
      <c r="C419">
        <f>IF(OR(Data!C420="",Data!C419=""),"",Data!C420/Data!C419-1)</f>
        <v>7.6775300873865859E-4</v>
      </c>
      <c r="D419">
        <f>IF(OR(Data!D420="",Data!D419=""),"",Data!D420/Data!D419-1)</f>
        <v>-5.1370711193184482E-2</v>
      </c>
    </row>
    <row r="420" spans="1:4" x14ac:dyDescent="0.35">
      <c r="A420" t="str">
        <f>Data!A421</f>
        <v>2023-08-11</v>
      </c>
      <c r="B420">
        <f>IF(OR(Data!B421="",Data!B420=""),"",Data!B421/Data!B420-1)</f>
        <v>1.7522656443325069E-3</v>
      </c>
      <c r="C420">
        <f>IF(OR(Data!C421="",Data!C420=""),"",Data!C421/Data!C420-1)</f>
        <v>-1.0952971140994583E-2</v>
      </c>
      <c r="D420">
        <f>IF(OR(Data!D421="",Data!D420=""),"",Data!D421/Data!D420-1)</f>
        <v>1.2892066201847685E-2</v>
      </c>
    </row>
    <row r="421" spans="1:4" x14ac:dyDescent="0.35">
      <c r="A421" t="str">
        <f>Data!A422</f>
        <v>2023-08-14</v>
      </c>
      <c r="B421">
        <f>IF(OR(Data!B422="",Data!B421=""),"",Data!B422/Data!B421-1)</f>
        <v>4.2492757607912601E-2</v>
      </c>
      <c r="C421">
        <f>IF(OR(Data!C422="",Data!C421=""),"",Data!C422/Data!C421-1)</f>
        <v>7.2127742549894514E-3</v>
      </c>
      <c r="D421">
        <f>IF(OR(Data!D422="",Data!D421=""),"",Data!D422/Data!D421-1)</f>
        <v>-2.9875940587919092E-2</v>
      </c>
    </row>
    <row r="422" spans="1:4" x14ac:dyDescent="0.35">
      <c r="A422" t="str">
        <f>Data!A423</f>
        <v>2023-08-15</v>
      </c>
      <c r="B422">
        <f>IF(OR(Data!B423="",Data!B422=""),"",Data!B423/Data!B422-1)</f>
        <v>3.6144603138081655E-2</v>
      </c>
      <c r="C422">
        <f>IF(OR(Data!C423="",Data!C422=""),"",Data!C423/Data!C422-1)</f>
        <v>-9.8295372138362813E-3</v>
      </c>
      <c r="D422">
        <f>IF(OR(Data!D423="",Data!D422=""),"",Data!D423/Data!D422-1)</f>
        <v>-3.9239312761824574E-2</v>
      </c>
    </row>
    <row r="423" spans="1:4" x14ac:dyDescent="0.35">
      <c r="A423" t="str">
        <f>Data!A424</f>
        <v>2023-08-16</v>
      </c>
      <c r="B423">
        <f>IF(OR(Data!B424="",Data!B423=""),"",Data!B424/Data!B423-1)</f>
        <v>-4.5684407710138153E-3</v>
      </c>
      <c r="C423">
        <f>IF(OR(Data!C424="",Data!C423=""),"",Data!C424/Data!C423-1)</f>
        <v>3.0957911619932554E-2</v>
      </c>
      <c r="D423">
        <f>IF(OR(Data!D424="",Data!D423=""),"",Data!D424/Data!D423-1)</f>
        <v>-4.4117856007906853E-2</v>
      </c>
    </row>
    <row r="424" spans="1:4" x14ac:dyDescent="0.35">
      <c r="A424" t="str">
        <f>Data!A425</f>
        <v>2023-08-17</v>
      </c>
      <c r="B424">
        <f>IF(OR(Data!B425="",Data!B424=""),"",Data!B425/Data!B424-1)</f>
        <v>2.0029046712467524E-2</v>
      </c>
      <c r="C424">
        <f>IF(OR(Data!C425="",Data!C424=""),"",Data!C425/Data!C424-1)</f>
        <v>2.3382072877968785E-3</v>
      </c>
      <c r="D424">
        <f>IF(OR(Data!D425="",Data!D424=""),"",Data!D425/Data!D424-1)</f>
        <v>3.4512774795044443E-2</v>
      </c>
    </row>
    <row r="425" spans="1:4" x14ac:dyDescent="0.35">
      <c r="A425" t="str">
        <f>Data!A426</f>
        <v>2023-08-18</v>
      </c>
      <c r="B425">
        <f>IF(OR(Data!B426="",Data!B425=""),"",Data!B426/Data!B425-1)</f>
        <v>1.3396683764232531E-2</v>
      </c>
      <c r="C425">
        <f>IF(OR(Data!C426="",Data!C425=""),"",Data!C426/Data!C425-1)</f>
        <v>-5.1789705196741975E-3</v>
      </c>
      <c r="D425">
        <f>IF(OR(Data!D426="",Data!D425=""),"",Data!D426/Data!D425-1)</f>
        <v>-1.8160988743915696E-2</v>
      </c>
    </row>
    <row r="426" spans="1:4" x14ac:dyDescent="0.35">
      <c r="A426" t="str">
        <f>Data!A427</f>
        <v>2023-08-21</v>
      </c>
      <c r="B426">
        <f>IF(OR(Data!B427="",Data!B426=""),"",Data!B427/Data!B426-1)</f>
        <v>2.8161755516588727E-2</v>
      </c>
      <c r="C426">
        <f>IF(OR(Data!C427="",Data!C426=""),"",Data!C427/Data!C426-1)</f>
        <v>3.0623623229399932E-3</v>
      </c>
      <c r="D426">
        <f>IF(OR(Data!D427="",Data!D426=""),"",Data!D427/Data!D426-1)</f>
        <v>4.7662865225828854E-2</v>
      </c>
    </row>
    <row r="427" spans="1:4" x14ac:dyDescent="0.35">
      <c r="A427" t="str">
        <f>Data!A428</f>
        <v>2023-08-22</v>
      </c>
      <c r="B427">
        <f>IF(OR(Data!B428="",Data!B427=""),"",Data!B428/Data!B427-1)</f>
        <v>-1.872077913127157E-2</v>
      </c>
      <c r="C427">
        <f>IF(OR(Data!C428="",Data!C427=""),"",Data!C428/Data!C427-1)</f>
        <v>-1.9722228623986204E-2</v>
      </c>
      <c r="D427">
        <f>IF(OR(Data!D428="",Data!D427=""),"",Data!D428/Data!D427-1)</f>
        <v>-1.5404103036530614E-2</v>
      </c>
    </row>
    <row r="428" spans="1:4" x14ac:dyDescent="0.35">
      <c r="A428" t="str">
        <f>Data!A429</f>
        <v>2023-08-23</v>
      </c>
      <c r="B428">
        <f>IF(OR(Data!B429="",Data!B428=""),"",Data!B429/Data!B428-1)</f>
        <v>1.4220814670323323E-2</v>
      </c>
      <c r="C428">
        <f>IF(OR(Data!C429="",Data!C428=""),"",Data!C429/Data!C428-1)</f>
        <v>-1.4185091398410177E-2</v>
      </c>
      <c r="D428">
        <f>IF(OR(Data!D429="",Data!D428=""),"",Data!D429/Data!D428-1)</f>
        <v>-4.940868061971404E-2</v>
      </c>
    </row>
    <row r="429" spans="1:4" x14ac:dyDescent="0.35">
      <c r="A429" t="str">
        <f>Data!A430</f>
        <v>2023-08-24</v>
      </c>
      <c r="B429">
        <f>IF(OR(Data!B430="",Data!B429=""),"",Data!B430/Data!B429-1)</f>
        <v>2.1802701666491453E-2</v>
      </c>
      <c r="C429">
        <f>IF(OR(Data!C430="",Data!C429=""),"",Data!C430/Data!C429-1)</f>
        <v>1.8462061456663514E-2</v>
      </c>
      <c r="D429">
        <f>IF(OR(Data!D430="",Data!D429=""),"",Data!D430/Data!D429-1)</f>
        <v>-3.2408775810028323E-2</v>
      </c>
    </row>
    <row r="430" spans="1:4" x14ac:dyDescent="0.35">
      <c r="A430" t="str">
        <f>Data!A431</f>
        <v>2023-08-25</v>
      </c>
      <c r="B430">
        <f>IF(OR(Data!B431="",Data!B430=""),"",Data!B431/Data!B430-1)</f>
        <v>-3.4176822900461423E-2</v>
      </c>
      <c r="C430">
        <f>IF(OR(Data!C431="",Data!C430=""),"",Data!C431/Data!C430-1)</f>
        <v>-9.5205211465667627E-3</v>
      </c>
      <c r="D430">
        <f>IF(OR(Data!D431="",Data!D430=""),"",Data!D431/Data!D430-1)</f>
        <v>3.8341255494882764E-2</v>
      </c>
    </row>
    <row r="431" spans="1:4" x14ac:dyDescent="0.35">
      <c r="A431" t="str">
        <f>Data!A432</f>
        <v>2023-08-28</v>
      </c>
      <c r="B431">
        <f>IF(OR(Data!B432="",Data!B431=""),"",Data!B432/Data!B431-1)</f>
        <v>-2.2996476114897635E-2</v>
      </c>
      <c r="C431">
        <f>IF(OR(Data!C432="",Data!C431=""),"",Data!C432/Data!C431-1)</f>
        <v>-1.5297927021279967E-2</v>
      </c>
      <c r="D431">
        <f>IF(OR(Data!D432="",Data!D431=""),"",Data!D432/Data!D431-1)</f>
        <v>-4.1187331344979539E-3</v>
      </c>
    </row>
    <row r="432" spans="1:4" x14ac:dyDescent="0.35">
      <c r="A432" t="str">
        <f>Data!A433</f>
        <v>2023-08-29</v>
      </c>
      <c r="B432">
        <f>IF(OR(Data!B433="",Data!B432=""),"",Data!B433/Data!B432-1)</f>
        <v>-3.9580448163579085E-2</v>
      </c>
      <c r="C432">
        <f>IF(OR(Data!C433="",Data!C432=""),"",Data!C433/Data!C432-1)</f>
        <v>8.3723687386749734E-3</v>
      </c>
      <c r="D432">
        <f>IF(OR(Data!D433="",Data!D432=""),"",Data!D433/Data!D432-1)</f>
        <v>-1.5772887877341546E-2</v>
      </c>
    </row>
    <row r="433" spans="1:4" x14ac:dyDescent="0.35">
      <c r="A433" t="str">
        <f>Data!A434</f>
        <v>2023-08-30</v>
      </c>
      <c r="B433">
        <f>IF(OR(Data!B434="",Data!B433=""),"",Data!B434/Data!B433-1)</f>
        <v>-4.9757974600931343E-3</v>
      </c>
      <c r="C433">
        <f>IF(OR(Data!C434="",Data!C433=""),"",Data!C434/Data!C433-1)</f>
        <v>1.8237275486364224E-2</v>
      </c>
      <c r="D433">
        <f>IF(OR(Data!D434="",Data!D433=""),"",Data!D434/Data!D433-1)</f>
        <v>5.3649270389883874E-3</v>
      </c>
    </row>
    <row r="434" spans="1:4" x14ac:dyDescent="0.35">
      <c r="A434" t="str">
        <f>Data!A435</f>
        <v>2023-08-31</v>
      </c>
      <c r="B434">
        <f>IF(OR(Data!B435="",Data!B434=""),"",Data!B435/Data!B434-1)</f>
        <v>1.4860607501634648E-2</v>
      </c>
      <c r="C434">
        <f>IF(OR(Data!C435="",Data!C434=""),"",Data!C435/Data!C434-1)</f>
        <v>1.1133511154342912E-2</v>
      </c>
      <c r="D434">
        <f>IF(OR(Data!D435="",Data!D434=""),"",Data!D435/Data!D434-1)</f>
        <v>1.5725792071144662E-2</v>
      </c>
    </row>
    <row r="435" spans="1:4" x14ac:dyDescent="0.35">
      <c r="A435" t="str">
        <f>Data!A436</f>
        <v>2023-09-01</v>
      </c>
      <c r="B435">
        <f>IF(OR(Data!B436="",Data!B435=""),"",Data!B436/Data!B435-1)</f>
        <v>3.0915251681252531E-2</v>
      </c>
      <c r="C435">
        <f>IF(OR(Data!C436="",Data!C435=""),"",Data!C436/Data!C435-1)</f>
        <v>1.5344568497867916E-2</v>
      </c>
      <c r="D435">
        <f>IF(OR(Data!D436="",Data!D435=""),"",Data!D436/Data!D435-1)</f>
        <v>3.4659301717381963E-2</v>
      </c>
    </row>
    <row r="436" spans="1:4" x14ac:dyDescent="0.35">
      <c r="A436" t="str">
        <f>Data!A437</f>
        <v>2023-09-04</v>
      </c>
      <c r="B436">
        <f>IF(OR(Data!B437="",Data!B436=""),"",Data!B437/Data!B436-1)</f>
        <v>1.8834027419052379E-3</v>
      </c>
      <c r="C436">
        <f>IF(OR(Data!C437="",Data!C436=""),"",Data!C437/Data!C436-1)</f>
        <v>-1.1003531880302786E-2</v>
      </c>
      <c r="D436">
        <f>IF(OR(Data!D437="",Data!D436=""),"",Data!D437/Data!D436-1)</f>
        <v>4.4987625883977866E-2</v>
      </c>
    </row>
    <row r="437" spans="1:4" x14ac:dyDescent="0.35">
      <c r="A437" t="str">
        <f>Data!A438</f>
        <v>2023-09-05</v>
      </c>
      <c r="B437">
        <f>IF(OR(Data!B438="",Data!B437=""),"",Data!B438/Data!B437-1)</f>
        <v>3.3522036560842849E-2</v>
      </c>
      <c r="C437">
        <f>IF(OR(Data!C438="",Data!C437=""),"",Data!C438/Data!C437-1)</f>
        <v>-2.081992589674031E-2</v>
      </c>
      <c r="D437">
        <f>IF(OR(Data!D438="",Data!D437=""),"",Data!D438/Data!D437-1)</f>
        <v>-1.0190901975173472E-2</v>
      </c>
    </row>
    <row r="438" spans="1:4" x14ac:dyDescent="0.35">
      <c r="A438" t="str">
        <f>Data!A439</f>
        <v>2023-09-06</v>
      </c>
      <c r="B438">
        <f>IF(OR(Data!B439="",Data!B438=""),"",Data!B439/Data!B438-1)</f>
        <v>-2.6834924441041519E-2</v>
      </c>
      <c r="C438">
        <f>IF(OR(Data!C439="",Data!C438=""),"",Data!C439/Data!C438-1)</f>
        <v>2.3069703001626918E-2</v>
      </c>
      <c r="D438">
        <f>IF(OR(Data!D439="",Data!D438=""),"",Data!D439/Data!D438-1)</f>
        <v>-3.847202369798719E-2</v>
      </c>
    </row>
    <row r="439" spans="1:4" x14ac:dyDescent="0.35">
      <c r="A439" t="str">
        <f>Data!A440</f>
        <v>2023-09-07</v>
      </c>
      <c r="B439">
        <f>IF(OR(Data!B440="",Data!B439=""),"",Data!B440/Data!B439-1)</f>
        <v>-3.3107501195696387E-2</v>
      </c>
      <c r="C439">
        <f>IF(OR(Data!C440="",Data!C439=""),"",Data!C440/Data!C439-1)</f>
        <v>-4.5425002560066652E-3</v>
      </c>
      <c r="D439">
        <f>IF(OR(Data!D440="",Data!D439=""),"",Data!D440/Data!D439-1)</f>
        <v>-1.178382957048596E-2</v>
      </c>
    </row>
    <row r="440" spans="1:4" x14ac:dyDescent="0.35">
      <c r="A440" t="str">
        <f>Data!A441</f>
        <v>2023-09-08</v>
      </c>
      <c r="B440">
        <f>IF(OR(Data!B441="",Data!B440=""),"",Data!B441/Data!B440-1)</f>
        <v>-7.1048052613087442E-4</v>
      </c>
      <c r="C440">
        <f>IF(OR(Data!C441="",Data!C440=""),"",Data!C441/Data!C440-1)</f>
        <v>-3.4686080682821974E-3</v>
      </c>
      <c r="D440">
        <f>IF(OR(Data!D441="",Data!D440=""),"",Data!D441/Data!D440-1)</f>
        <v>8.3935649335509233E-3</v>
      </c>
    </row>
    <row r="441" spans="1:4" x14ac:dyDescent="0.35">
      <c r="A441" t="str">
        <f>Data!A442</f>
        <v>2023-09-11</v>
      </c>
      <c r="B441">
        <f>IF(OR(Data!B442="",Data!B441=""),"",Data!B442/Data!B441-1)</f>
        <v>8.1139562462102521E-3</v>
      </c>
      <c r="C441">
        <f>IF(OR(Data!C442="",Data!C441=""),"",Data!C442/Data!C441-1)</f>
        <v>2.0415979533038309E-2</v>
      </c>
      <c r="D441">
        <f>IF(OR(Data!D442="",Data!D441=""),"",Data!D442/Data!D441-1)</f>
        <v>-2.7964523672947217E-2</v>
      </c>
    </row>
    <row r="442" spans="1:4" x14ac:dyDescent="0.35">
      <c r="A442" t="str">
        <f>Data!A443</f>
        <v>2023-09-12</v>
      </c>
      <c r="B442">
        <f>IF(OR(Data!B443="",Data!B442=""),"",Data!B443/Data!B442-1)</f>
        <v>-2.5416088650243029E-4</v>
      </c>
      <c r="C442">
        <f>IF(OR(Data!C443="",Data!C442=""),"",Data!C443/Data!C442-1)</f>
        <v>8.668199109685526E-3</v>
      </c>
      <c r="D442">
        <f>IF(OR(Data!D443="",Data!D442=""),"",Data!D443/Data!D442-1)</f>
        <v>-2.7771452850847256E-2</v>
      </c>
    </row>
    <row r="443" spans="1:4" x14ac:dyDescent="0.35">
      <c r="A443" t="str">
        <f>Data!A444</f>
        <v>2023-09-13</v>
      </c>
      <c r="B443">
        <f>IF(OR(Data!B444="",Data!B443=""),"",Data!B444/Data!B443-1)</f>
        <v>-4.0121708794671695E-2</v>
      </c>
      <c r="C443">
        <f>IF(OR(Data!C444="",Data!C443=""),"",Data!C444/Data!C443-1)</f>
        <v>7.1511203790353139E-3</v>
      </c>
      <c r="D443">
        <f>IF(OR(Data!D444="",Data!D443=""),"",Data!D444/Data!D443-1)</f>
        <v>1.0922679145459524E-2</v>
      </c>
    </row>
    <row r="444" spans="1:4" x14ac:dyDescent="0.35">
      <c r="A444" t="str">
        <f>Data!A445</f>
        <v>2023-09-14</v>
      </c>
      <c r="B444">
        <f>IF(OR(Data!B445="",Data!B444=""),"",Data!B445/Data!B444-1)</f>
        <v>-1.3811120447945191E-3</v>
      </c>
      <c r="C444">
        <f>IF(OR(Data!C445="",Data!C444=""),"",Data!C445/Data!C444-1)</f>
        <v>3.3305247361808732E-2</v>
      </c>
      <c r="D444">
        <f>IF(OR(Data!D445="",Data!D444=""),"",Data!D445/Data!D444-1)</f>
        <v>-9.0894848700717734E-4</v>
      </c>
    </row>
    <row r="445" spans="1:4" x14ac:dyDescent="0.35">
      <c r="A445" t="str">
        <f>Data!A446</f>
        <v>2023-09-15</v>
      </c>
      <c r="B445">
        <f>IF(OR(Data!B446="",Data!B445=""),"",Data!B446/Data!B445-1)</f>
        <v>-2.5362349027024389E-2</v>
      </c>
      <c r="C445">
        <f>IF(OR(Data!C446="",Data!C445=""),"",Data!C446/Data!C445-1)</f>
        <v>-9.3216858806629554E-3</v>
      </c>
      <c r="D445">
        <f>IF(OR(Data!D446="",Data!D445=""),"",Data!D446/Data!D445-1)</f>
        <v>1.5351535745298239E-3</v>
      </c>
    </row>
    <row r="446" spans="1:4" x14ac:dyDescent="0.35">
      <c r="A446" t="str">
        <f>Data!A447</f>
        <v>2023-09-18</v>
      </c>
      <c r="B446">
        <f>IF(OR(Data!B447="",Data!B446=""),"",Data!B447/Data!B446-1)</f>
        <v>1.3888789950662339E-2</v>
      </c>
      <c r="C446">
        <f>IF(OR(Data!C447="",Data!C446=""),"",Data!C447/Data!C446-1)</f>
        <v>1.4306667418423125E-2</v>
      </c>
      <c r="D446">
        <f>IF(OR(Data!D447="",Data!D446=""),"",Data!D447/Data!D446-1)</f>
        <v>-2.1960293414423071E-2</v>
      </c>
    </row>
    <row r="447" spans="1:4" x14ac:dyDescent="0.35">
      <c r="A447" t="str">
        <f>Data!A448</f>
        <v>2023-09-19</v>
      </c>
      <c r="B447">
        <f>IF(OR(Data!B448="",Data!B447=""),"",Data!B448/Data!B447-1)</f>
        <v>7.762291759028761E-3</v>
      </c>
      <c r="C447">
        <f>IF(OR(Data!C448="",Data!C447=""),"",Data!C448/Data!C447-1)</f>
        <v>1.1434373896588301E-3</v>
      </c>
      <c r="D447">
        <f>IF(OR(Data!D448="",Data!D447=""),"",Data!D448/Data!D447-1)</f>
        <v>-6.3417356201889152E-3</v>
      </c>
    </row>
    <row r="448" spans="1:4" x14ac:dyDescent="0.35">
      <c r="A448" t="str">
        <f>Data!A449</f>
        <v>2023-09-20</v>
      </c>
      <c r="B448">
        <f>IF(OR(Data!B449="",Data!B448=""),"",Data!B449/Data!B448-1)</f>
        <v>-1.8229302835661598E-2</v>
      </c>
      <c r="C448">
        <f>IF(OR(Data!C449="",Data!C448=""),"",Data!C449/Data!C448-1)</f>
        <v>4.3257103912845984E-3</v>
      </c>
      <c r="D448">
        <f>IF(OR(Data!D449="",Data!D448=""),"",Data!D449/Data!D448-1)</f>
        <v>-2.6811209010250248E-2</v>
      </c>
    </row>
    <row r="449" spans="1:4" x14ac:dyDescent="0.35">
      <c r="A449" t="str">
        <f>Data!A450</f>
        <v>2023-09-21</v>
      </c>
      <c r="B449">
        <f>IF(OR(Data!B450="",Data!B449=""),"",Data!B450/Data!B449-1)</f>
        <v>-9.8289153751760505E-3</v>
      </c>
      <c r="C449">
        <f>IF(OR(Data!C450="",Data!C449=""),"",Data!C450/Data!C449-1)</f>
        <v>2.348590378585369E-2</v>
      </c>
      <c r="D449">
        <f>IF(OR(Data!D450="",Data!D449=""),"",Data!D450/Data!D449-1)</f>
        <v>2.7631063169878844E-2</v>
      </c>
    </row>
    <row r="450" spans="1:4" x14ac:dyDescent="0.35">
      <c r="A450" t="str">
        <f>Data!A451</f>
        <v>2023-09-22</v>
      </c>
      <c r="B450">
        <f>IF(OR(Data!B451="",Data!B450=""),"",Data!B451/Data!B450-1)</f>
        <v>-2.0570143385704176E-2</v>
      </c>
      <c r="C450">
        <f>IF(OR(Data!C451="",Data!C450=""),"",Data!C451/Data!C450-1)</f>
        <v>7.9364385003997118E-3</v>
      </c>
      <c r="D450">
        <f>IF(OR(Data!D451="",Data!D450=""),"",Data!D451/Data!D450-1)</f>
        <v>3.2112170908282778E-2</v>
      </c>
    </row>
    <row r="451" spans="1:4" x14ac:dyDescent="0.35">
      <c r="A451" t="str">
        <f>Data!A452</f>
        <v>2023-09-25</v>
      </c>
      <c r="B451">
        <f>IF(OR(Data!B452="",Data!B451=""),"",Data!B452/Data!B451-1)</f>
        <v>-8.5306175947463814E-4</v>
      </c>
      <c r="C451">
        <f>IF(OR(Data!C452="",Data!C451=""),"",Data!C452/Data!C451-1)</f>
        <v>8.3970154176751244E-3</v>
      </c>
      <c r="D451">
        <f>IF(OR(Data!D452="",Data!D451=""),"",Data!D452/Data!D451-1)</f>
        <v>-5.3359449542365045E-2</v>
      </c>
    </row>
    <row r="452" spans="1:4" x14ac:dyDescent="0.35">
      <c r="A452" t="str">
        <f>Data!A453</f>
        <v>2023-09-26</v>
      </c>
      <c r="B452">
        <f>IF(OR(Data!B453="",Data!B452=""),"",Data!B453/Data!B452-1)</f>
        <v>1.9694335817263875E-2</v>
      </c>
      <c r="C452">
        <f>IF(OR(Data!C453="",Data!C452=""),"",Data!C453/Data!C452-1)</f>
        <v>1.6509724360132871E-2</v>
      </c>
      <c r="D452">
        <f>IF(OR(Data!D453="",Data!D452=""),"",Data!D453/Data!D452-1)</f>
        <v>-2.696509322330165E-2</v>
      </c>
    </row>
    <row r="453" spans="1:4" x14ac:dyDescent="0.35">
      <c r="A453" t="str">
        <f>Data!A454</f>
        <v>2023-09-27</v>
      </c>
      <c r="B453">
        <f>IF(OR(Data!B454="",Data!B453=""),"",Data!B454/Data!B453-1)</f>
        <v>-1.9129251094419319E-2</v>
      </c>
      <c r="C453">
        <f>IF(OR(Data!C454="",Data!C453=""),"",Data!C454/Data!C453-1)</f>
        <v>-5.1731977475181212E-3</v>
      </c>
      <c r="D453">
        <f>IF(OR(Data!D454="",Data!D453=""),"",Data!D454/Data!D453-1)</f>
        <v>-4.3376892326469019E-2</v>
      </c>
    </row>
    <row r="454" spans="1:4" x14ac:dyDescent="0.35">
      <c r="A454" t="str">
        <f>Data!A455</f>
        <v>2023-09-28</v>
      </c>
      <c r="B454">
        <f>IF(OR(Data!B455="",Data!B454=""),"",Data!B455/Data!B454-1)</f>
        <v>1.0535910683262317E-2</v>
      </c>
      <c r="C454">
        <f>IF(OR(Data!C455="",Data!C454=""),"",Data!C455/Data!C454-1)</f>
        <v>-1.2225469122862931E-2</v>
      </c>
      <c r="D454">
        <f>IF(OR(Data!D455="",Data!D454=""),"",Data!D455/Data!D454-1)</f>
        <v>-1.8772329112316521E-2</v>
      </c>
    </row>
    <row r="455" spans="1:4" x14ac:dyDescent="0.35">
      <c r="A455" t="str">
        <f>Data!A456</f>
        <v>2023-09-29</v>
      </c>
      <c r="B455">
        <f>IF(OR(Data!B456="",Data!B455=""),"",Data!B456/Data!B455-1)</f>
        <v>-1.0152703858926415E-2</v>
      </c>
      <c r="C455">
        <f>IF(OR(Data!C456="",Data!C455=""),"",Data!C456/Data!C455-1)</f>
        <v>-1.5266594980198778E-2</v>
      </c>
      <c r="D455">
        <f>IF(OR(Data!D456="",Data!D455=""),"",Data!D456/Data!D455-1)</f>
        <v>-1.9512091280654564E-3</v>
      </c>
    </row>
    <row r="456" spans="1:4" x14ac:dyDescent="0.35">
      <c r="A456" t="str">
        <f>Data!A457</f>
        <v>2023-10-02</v>
      </c>
      <c r="B456">
        <f>IF(OR(Data!B457="",Data!B456=""),"",Data!B457/Data!B456-1)</f>
        <v>-1.5339108573638627E-2</v>
      </c>
      <c r="C456">
        <f>IF(OR(Data!C457="",Data!C456=""),"",Data!C457/Data!C456-1)</f>
        <v>-2.8785712954046527E-2</v>
      </c>
      <c r="D456">
        <f>IF(OR(Data!D457="",Data!D456=""),"",Data!D457/Data!D456-1)</f>
        <v>-4.2030238668177788E-2</v>
      </c>
    </row>
    <row r="457" spans="1:4" x14ac:dyDescent="0.35">
      <c r="A457" t="str">
        <f>Data!A458</f>
        <v>2023-10-03</v>
      </c>
      <c r="B457">
        <f>IF(OR(Data!B458="",Data!B457=""),"",Data!B458/Data!B457-1)</f>
        <v>-1.7385831551601783E-3</v>
      </c>
      <c r="C457">
        <f>IF(OR(Data!C458="",Data!C457=""),"",Data!C458/Data!C457-1)</f>
        <v>3.1620378386806314E-2</v>
      </c>
      <c r="D457">
        <f>IF(OR(Data!D458="",Data!D457=""),"",Data!D458/Data!D457-1)</f>
        <v>-2.6741904155027751E-2</v>
      </c>
    </row>
    <row r="458" spans="1:4" x14ac:dyDescent="0.35">
      <c r="A458" t="str">
        <f>Data!A459</f>
        <v>2023-10-04</v>
      </c>
      <c r="B458">
        <f>IF(OR(Data!B459="",Data!B458=""),"",Data!B459/Data!B458-1)</f>
        <v>-2.0100442594277679E-2</v>
      </c>
      <c r="C458">
        <f>IF(OR(Data!C459="",Data!C458=""),"",Data!C459/Data!C458-1)</f>
        <v>-1.6129320129827374E-2</v>
      </c>
      <c r="D458">
        <f>IF(OR(Data!D459="",Data!D458=""),"",Data!D459/Data!D458-1)</f>
        <v>-2.9135697406016958E-2</v>
      </c>
    </row>
    <row r="459" spans="1:4" x14ac:dyDescent="0.35">
      <c r="A459" t="str">
        <f>Data!A460</f>
        <v>2023-10-05</v>
      </c>
      <c r="B459">
        <f>IF(OR(Data!B460="",Data!B459=""),"",Data!B460/Data!B459-1)</f>
        <v>-1.0616105237780671E-2</v>
      </c>
      <c r="C459">
        <f>IF(OR(Data!C460="",Data!C459=""),"",Data!C460/Data!C459-1)</f>
        <v>-3.0264000429200966E-3</v>
      </c>
      <c r="D459">
        <f>IF(OR(Data!D460="",Data!D459=""),"",Data!D460/Data!D459-1)</f>
        <v>6.7909074414866932E-3</v>
      </c>
    </row>
    <row r="460" spans="1:4" x14ac:dyDescent="0.35">
      <c r="A460" t="str">
        <f>Data!A461</f>
        <v>2023-10-06</v>
      </c>
      <c r="B460">
        <f>IF(OR(Data!B461="",Data!B460=""),"",Data!B461/Data!B460-1)</f>
        <v>-2.3282574773431208E-2</v>
      </c>
      <c r="C460">
        <f>IF(OR(Data!C461="",Data!C460=""),"",Data!C461/Data!C460-1)</f>
        <v>-3.8574911750791641E-3</v>
      </c>
      <c r="D460">
        <f>IF(OR(Data!D461="",Data!D460=""),"",Data!D461/Data!D460-1)</f>
        <v>2.6339132123958109E-3</v>
      </c>
    </row>
    <row r="461" spans="1:4" x14ac:dyDescent="0.35">
      <c r="A461" t="str">
        <f>Data!A462</f>
        <v>2023-10-09</v>
      </c>
      <c r="B461">
        <f>IF(OR(Data!B462="",Data!B461=""),"",Data!B462/Data!B461-1)</f>
        <v>4.0492948047481603E-2</v>
      </c>
      <c r="C461">
        <f>IF(OR(Data!C462="",Data!C461=""),"",Data!C462/Data!C461-1)</f>
        <v>4.910880499575887E-3</v>
      </c>
      <c r="D461">
        <f>IF(OR(Data!D462="",Data!D461=""),"",Data!D462/Data!D461-1)</f>
        <v>-2.0881030367993936E-2</v>
      </c>
    </row>
    <row r="462" spans="1:4" x14ac:dyDescent="0.35">
      <c r="A462" t="str">
        <f>Data!A463</f>
        <v>2023-10-10</v>
      </c>
      <c r="B462">
        <f>IF(OR(Data!B463="",Data!B462=""),"",Data!B463/Data!B462-1)</f>
        <v>1.1058223589415217E-3</v>
      </c>
      <c r="C462">
        <f>IF(OR(Data!C463="",Data!C462=""),"",Data!C463/Data!C462-1)</f>
        <v>1.2602013073452545E-2</v>
      </c>
      <c r="D462">
        <f>IF(OR(Data!D463="",Data!D462=""),"",Data!D463/Data!D462-1)</f>
        <v>5.8714563967834366E-3</v>
      </c>
    </row>
    <row r="463" spans="1:4" x14ac:dyDescent="0.35">
      <c r="A463" t="str">
        <f>Data!A464</f>
        <v>2023-10-11</v>
      </c>
      <c r="B463">
        <f>IF(OR(Data!B464="",Data!B463=""),"",Data!B464/Data!B463-1)</f>
        <v>-1.3502272289402484E-2</v>
      </c>
      <c r="C463">
        <f>IF(OR(Data!C464="",Data!C463=""),"",Data!C464/Data!C463-1)</f>
        <v>1.3281986706555449E-2</v>
      </c>
      <c r="D463">
        <f>IF(OR(Data!D464="",Data!D463=""),"",Data!D464/Data!D463-1)</f>
        <v>-1.5725412511216619E-2</v>
      </c>
    </row>
    <row r="464" spans="1:4" x14ac:dyDescent="0.35">
      <c r="A464" t="str">
        <f>Data!A465</f>
        <v>2023-10-12</v>
      </c>
      <c r="B464">
        <f>IF(OR(Data!B465="",Data!B464=""),"",Data!B465/Data!B464-1)</f>
        <v>4.6902619623125918E-3</v>
      </c>
      <c r="C464">
        <f>IF(OR(Data!C465="",Data!C464=""),"",Data!C465/Data!C464-1)</f>
        <v>-8.4227301390583653E-3</v>
      </c>
      <c r="D464">
        <f>IF(OR(Data!D465="",Data!D464=""),"",Data!D465/Data!D464-1)</f>
        <v>-7.5707773772457632E-3</v>
      </c>
    </row>
    <row r="465" spans="1:4" x14ac:dyDescent="0.35">
      <c r="A465" t="str">
        <f>Data!A466</f>
        <v>2023-10-13</v>
      </c>
      <c r="B465">
        <f>IF(OR(Data!B466="",Data!B465=""),"",Data!B466/Data!B465-1)</f>
        <v>-1.8447821632435746E-3</v>
      </c>
      <c r="C465">
        <f>IF(OR(Data!C466="",Data!C465=""),"",Data!C466/Data!C465-1)</f>
        <v>-2.2168894896555935E-3</v>
      </c>
      <c r="D465">
        <f>IF(OR(Data!D466="",Data!D465=""),"",Data!D466/Data!D465-1)</f>
        <v>5.2063755498778397E-2</v>
      </c>
    </row>
    <row r="466" spans="1:4" x14ac:dyDescent="0.35">
      <c r="A466" t="str">
        <f>Data!A467</f>
        <v>2023-10-16</v>
      </c>
      <c r="B466">
        <f>IF(OR(Data!B467="",Data!B466=""),"",Data!B467/Data!B466-1)</f>
        <v>-4.0110341625246848E-3</v>
      </c>
      <c r="C466">
        <f>IF(OR(Data!C467="",Data!C466=""),"",Data!C467/Data!C466-1)</f>
        <v>4.5365866109741138E-3</v>
      </c>
      <c r="D466">
        <f>IF(OR(Data!D467="",Data!D466=""),"",Data!D467/Data!D466-1)</f>
        <v>4.1605703394693272E-2</v>
      </c>
    </row>
    <row r="467" spans="1:4" x14ac:dyDescent="0.35">
      <c r="A467" t="str">
        <f>Data!A468</f>
        <v>2023-10-17</v>
      </c>
      <c r="B467">
        <f>IF(OR(Data!B468="",Data!B467=""),"",Data!B468/Data!B467-1)</f>
        <v>1.2764006207941492E-2</v>
      </c>
      <c r="C467">
        <f>IF(OR(Data!C468="",Data!C467=""),"",Data!C468/Data!C467-1)</f>
        <v>-3.4371350912036913E-3</v>
      </c>
      <c r="D467">
        <f>IF(OR(Data!D468="",Data!D467=""),"",Data!D468/Data!D467-1)</f>
        <v>-3.7707933673785776E-2</v>
      </c>
    </row>
    <row r="468" spans="1:4" x14ac:dyDescent="0.35">
      <c r="A468" t="str">
        <f>Data!A469</f>
        <v>2023-10-18</v>
      </c>
      <c r="B468">
        <f>IF(OR(Data!B469="",Data!B468=""),"",Data!B469/Data!B468-1)</f>
        <v>1.5671776265878679E-2</v>
      </c>
      <c r="C468">
        <f>IF(OR(Data!C469="",Data!C468=""),"",Data!C469/Data!C468-1)</f>
        <v>2.4697780514406631E-2</v>
      </c>
      <c r="D468">
        <f>IF(OR(Data!D469="",Data!D468=""),"",Data!D469/Data!D468-1)</f>
        <v>2.576827375345192E-2</v>
      </c>
    </row>
    <row r="469" spans="1:4" x14ac:dyDescent="0.35">
      <c r="A469" t="str">
        <f>Data!A470</f>
        <v>2023-10-19</v>
      </c>
      <c r="B469">
        <f>IF(OR(Data!B470="",Data!B469=""),"",Data!B470/Data!B469-1)</f>
        <v>-1.0158175926457291E-2</v>
      </c>
      <c r="C469">
        <f>IF(OR(Data!C470="",Data!C469=""),"",Data!C470/Data!C469-1)</f>
        <v>7.6813518406759762E-3</v>
      </c>
      <c r="D469">
        <f>IF(OR(Data!D470="",Data!D469=""),"",Data!D470/Data!D469-1)</f>
        <v>2.5204395123229251E-2</v>
      </c>
    </row>
    <row r="470" spans="1:4" x14ac:dyDescent="0.35">
      <c r="A470" t="str">
        <f>Data!A471</f>
        <v>2023-10-20</v>
      </c>
      <c r="B470">
        <f>IF(OR(Data!B471="",Data!B470=""),"",Data!B471/Data!B470-1)</f>
        <v>-1.1054679204189677E-2</v>
      </c>
      <c r="C470">
        <f>IF(OR(Data!C471="",Data!C470=""),"",Data!C471/Data!C470-1)</f>
        <v>1.1375044779287746E-2</v>
      </c>
      <c r="D470">
        <f>IF(OR(Data!D471="",Data!D470=""),"",Data!D471/Data!D470-1)</f>
        <v>-3.3329730434618954E-2</v>
      </c>
    </row>
    <row r="471" spans="1:4" x14ac:dyDescent="0.35">
      <c r="A471" t="str">
        <f>Data!A472</f>
        <v>2023-10-23</v>
      </c>
      <c r="B471">
        <f>IF(OR(Data!B472="",Data!B471=""),"",Data!B472/Data!B471-1)</f>
        <v>-5.0884307118242988E-3</v>
      </c>
      <c r="C471">
        <f>IF(OR(Data!C472="",Data!C471=""),"",Data!C472/Data!C471-1)</f>
        <v>1.0283247551538421E-2</v>
      </c>
      <c r="D471">
        <f>IF(OR(Data!D472="",Data!D471=""),"",Data!D472/Data!D471-1)</f>
        <v>2.5431501218633246E-2</v>
      </c>
    </row>
    <row r="472" spans="1:4" x14ac:dyDescent="0.35">
      <c r="A472" t="str">
        <f>Data!A473</f>
        <v>2023-10-24</v>
      </c>
      <c r="B472">
        <f>IF(OR(Data!B473="",Data!B472=""),"",Data!B473/Data!B472-1)</f>
        <v>-4.46125620267388E-2</v>
      </c>
      <c r="C472">
        <f>IF(OR(Data!C473="",Data!C472=""),"",Data!C473/Data!C472-1)</f>
        <v>1.8050484221020735E-2</v>
      </c>
      <c r="D472">
        <f>IF(OR(Data!D473="",Data!D472=""),"",Data!D473/Data!D472-1)</f>
        <v>4.7794664602988535E-2</v>
      </c>
    </row>
    <row r="473" spans="1:4" x14ac:dyDescent="0.35">
      <c r="A473" t="str">
        <f>Data!A474</f>
        <v>2023-10-25</v>
      </c>
      <c r="B473">
        <f>IF(OR(Data!B474="",Data!B473=""),"",Data!B474/Data!B473-1)</f>
        <v>-2.9460658368363646E-2</v>
      </c>
      <c r="C473">
        <f>IF(OR(Data!C474="",Data!C473=""),"",Data!C474/Data!C473-1)</f>
        <v>3.0073333867151053E-3</v>
      </c>
      <c r="D473">
        <f>IF(OR(Data!D474="",Data!D473=""),"",Data!D474/Data!D473-1)</f>
        <v>-3.2583434591291427E-2</v>
      </c>
    </row>
    <row r="474" spans="1:4" x14ac:dyDescent="0.35">
      <c r="A474" t="str">
        <f>Data!A475</f>
        <v>2023-10-26</v>
      </c>
      <c r="B474">
        <f>IF(OR(Data!B475="",Data!B474=""),"",Data!B475/Data!B474-1)</f>
        <v>2.8125345664724577E-2</v>
      </c>
      <c r="C474">
        <f>IF(OR(Data!C475="",Data!C474=""),"",Data!C475/Data!C474-1)</f>
        <v>-1.8982508172249224E-2</v>
      </c>
      <c r="D474">
        <f>IF(OR(Data!D475="",Data!D474=""),"",Data!D475/Data!D474-1)</f>
        <v>-2.661466635309695E-2</v>
      </c>
    </row>
    <row r="475" spans="1:4" x14ac:dyDescent="0.35">
      <c r="A475" t="str">
        <f>Data!A476</f>
        <v>2023-10-27</v>
      </c>
      <c r="B475">
        <f>IF(OR(Data!B476="",Data!B475=""),"",Data!B476/Data!B475-1)</f>
        <v>3.3860133953589999E-2</v>
      </c>
      <c r="C475">
        <f>IF(OR(Data!C476="",Data!C475=""),"",Data!C476/Data!C475-1)</f>
        <v>6.3027872838097299E-3</v>
      </c>
      <c r="D475">
        <f>IF(OR(Data!D476="",Data!D475=""),"",Data!D476/Data!D475-1)</f>
        <v>3.1567823057329525E-2</v>
      </c>
    </row>
    <row r="476" spans="1:4" x14ac:dyDescent="0.35">
      <c r="A476" t="str">
        <f>Data!A477</f>
        <v>2023-10-30</v>
      </c>
      <c r="B476">
        <f>IF(OR(Data!B477="",Data!B476=""),"",Data!B477/Data!B476-1)</f>
        <v>-4.5702383901579102E-3</v>
      </c>
      <c r="C476">
        <f>IF(OR(Data!C477="",Data!C476=""),"",Data!C477/Data!C476-1)</f>
        <v>-9.4382628758559184E-3</v>
      </c>
      <c r="D476">
        <f>IF(OR(Data!D477="",Data!D476=""),"",Data!D477/Data!D476-1)</f>
        <v>8.732711538594895E-3</v>
      </c>
    </row>
    <row r="477" spans="1:4" x14ac:dyDescent="0.35">
      <c r="A477" t="str">
        <f>Data!A478</f>
        <v>2023-10-31</v>
      </c>
      <c r="B477">
        <f>IF(OR(Data!B478="",Data!B477=""),"",Data!B478/Data!B477-1)</f>
        <v>1.2002708703582554E-2</v>
      </c>
      <c r="C477">
        <f>IF(OR(Data!C478="",Data!C477=""),"",Data!C478/Data!C477-1)</f>
        <v>-7.6125839907437154E-3</v>
      </c>
      <c r="D477">
        <f>IF(OR(Data!D478="",Data!D477=""),"",Data!D478/Data!D477-1)</f>
        <v>1.724155723092835E-2</v>
      </c>
    </row>
    <row r="478" spans="1:4" x14ac:dyDescent="0.35">
      <c r="A478" t="str">
        <f>Data!A479</f>
        <v>2023-11-01</v>
      </c>
      <c r="B478">
        <f>IF(OR(Data!B479="",Data!B478=""),"",Data!B479/Data!B478-1)</f>
        <v>6.6467310987921024E-3</v>
      </c>
      <c r="C478">
        <f>IF(OR(Data!C479="",Data!C478=""),"",Data!C479/Data!C478-1)</f>
        <v>9.1244403012917807E-3</v>
      </c>
      <c r="D478">
        <f>IF(OR(Data!D479="",Data!D478=""),"",Data!D479/Data!D478-1)</f>
        <v>1.0825858466652294E-2</v>
      </c>
    </row>
    <row r="479" spans="1:4" x14ac:dyDescent="0.35">
      <c r="A479" t="str">
        <f>Data!A480</f>
        <v>2023-11-02</v>
      </c>
      <c r="B479">
        <f>IF(OR(Data!B480="",Data!B479=""),"",Data!B480/Data!B479-1)</f>
        <v>6.3938532747332966E-2</v>
      </c>
      <c r="C479">
        <f>IF(OR(Data!C480="",Data!C479=""),"",Data!C480/Data!C479-1)</f>
        <v>1.904084111987725E-2</v>
      </c>
      <c r="D479">
        <f>IF(OR(Data!D480="",Data!D479=""),"",Data!D480/Data!D479-1)</f>
        <v>1.2346174609407345E-2</v>
      </c>
    </row>
    <row r="480" spans="1:4" x14ac:dyDescent="0.35">
      <c r="A480" t="str">
        <f>Data!A481</f>
        <v>2023-11-03</v>
      </c>
      <c r="B480">
        <f>IF(OR(Data!B481="",Data!B480=""),"",Data!B481/Data!B480-1)</f>
        <v>2.3053468961168777E-2</v>
      </c>
      <c r="C480">
        <f>IF(OR(Data!C481="",Data!C480=""),"",Data!C481/Data!C480-1)</f>
        <v>6.0670612026303417E-4</v>
      </c>
      <c r="D480">
        <f>IF(OR(Data!D481="",Data!D480=""),"",Data!D481/Data!D480-1)</f>
        <v>-3.8484002587409805E-2</v>
      </c>
    </row>
    <row r="481" spans="1:4" x14ac:dyDescent="0.35">
      <c r="A481" t="str">
        <f>Data!A482</f>
        <v>2023-11-06</v>
      </c>
      <c r="B481">
        <f>IF(OR(Data!B482="",Data!B481=""),"",Data!B482/Data!B481-1)</f>
        <v>-2.1564461205076935E-3</v>
      </c>
      <c r="C481">
        <f>IF(OR(Data!C482="",Data!C481=""),"",Data!C482/Data!C481-1)</f>
        <v>4.9320699517654276E-3</v>
      </c>
      <c r="D481">
        <f>IF(OR(Data!D482="",Data!D481=""),"",Data!D482/Data!D481-1)</f>
        <v>3.2486233700176781E-2</v>
      </c>
    </row>
    <row r="482" spans="1:4" x14ac:dyDescent="0.35">
      <c r="A482" t="str">
        <f>Data!A483</f>
        <v>2023-11-07</v>
      </c>
      <c r="B482">
        <f>IF(OR(Data!B483="",Data!B482=""),"",Data!B483/Data!B482-1)</f>
        <v>-1.8536863963109718E-2</v>
      </c>
      <c r="C482">
        <f>IF(OR(Data!C483="",Data!C482=""),"",Data!C483/Data!C482-1)</f>
        <v>2.6156852405370801E-2</v>
      </c>
      <c r="D482">
        <f>IF(OR(Data!D483="",Data!D482=""),"",Data!D483/Data!D482-1)</f>
        <v>3.6280163950591859E-2</v>
      </c>
    </row>
    <row r="483" spans="1:4" x14ac:dyDescent="0.35">
      <c r="A483" t="str">
        <f>Data!A484</f>
        <v>2023-11-08</v>
      </c>
      <c r="B483">
        <f>IF(OR(Data!B484="",Data!B483=""),"",Data!B484/Data!B483-1)</f>
        <v>-3.123067031139426E-2</v>
      </c>
      <c r="C483">
        <f>IF(OR(Data!C484="",Data!C483=""),"",Data!C484/Data!C483-1)</f>
        <v>3.9066198476047642E-3</v>
      </c>
      <c r="D483">
        <f>IF(OR(Data!D484="",Data!D483=""),"",Data!D484/Data!D483-1)</f>
        <v>-6.3117245100885455E-3</v>
      </c>
    </row>
    <row r="484" spans="1:4" x14ac:dyDescent="0.35">
      <c r="A484" t="str">
        <f>Data!A485</f>
        <v>2023-11-09</v>
      </c>
      <c r="B484">
        <f>IF(OR(Data!B485="",Data!B484=""),"",Data!B485/Data!B484-1)</f>
        <v>4.4790740478446445E-3</v>
      </c>
      <c r="C484">
        <f>IF(OR(Data!C485="",Data!C484=""),"",Data!C485/Data!C484-1)</f>
        <v>4.0095474364757244E-2</v>
      </c>
      <c r="D484">
        <f>IF(OR(Data!D485="",Data!D484=""),"",Data!D485/Data!D484-1)</f>
        <v>-7.5397503639562657E-4</v>
      </c>
    </row>
    <row r="485" spans="1:4" x14ac:dyDescent="0.35">
      <c r="A485" t="str">
        <f>Data!A486</f>
        <v>2023-11-10</v>
      </c>
      <c r="B485">
        <f>IF(OR(Data!B486="",Data!B485=""),"",Data!B486/Data!B485-1)</f>
        <v>-1.4619060591362643E-2</v>
      </c>
      <c r="C485">
        <f>IF(OR(Data!C486="",Data!C485=""),"",Data!C486/Data!C485-1)</f>
        <v>8.8087924969535436E-3</v>
      </c>
      <c r="D485">
        <f>IF(OR(Data!D486="",Data!D485=""),"",Data!D486/Data!D485-1)</f>
        <v>-4.4368882219572359E-2</v>
      </c>
    </row>
    <row r="486" spans="1:4" x14ac:dyDescent="0.35">
      <c r="A486" t="str">
        <f>Data!A487</f>
        <v>2023-11-13</v>
      </c>
      <c r="B486">
        <f>IF(OR(Data!B487="",Data!B486=""),"",Data!B487/Data!B486-1)</f>
        <v>-2.7655010635101562E-2</v>
      </c>
      <c r="C486">
        <f>IF(OR(Data!C487="",Data!C486=""),"",Data!C487/Data!C486-1)</f>
        <v>-2.5785606605116973E-2</v>
      </c>
      <c r="D486">
        <f>IF(OR(Data!D487="",Data!D486=""),"",Data!D487/Data!D486-1)</f>
        <v>1.6105923432229385E-2</v>
      </c>
    </row>
    <row r="487" spans="1:4" x14ac:dyDescent="0.35">
      <c r="A487" t="str">
        <f>Data!A488</f>
        <v>2023-11-14</v>
      </c>
      <c r="B487">
        <f>IF(OR(Data!B488="",Data!B487=""),"",Data!B488/Data!B487-1)</f>
        <v>-1.2453200330708847E-2</v>
      </c>
      <c r="C487">
        <f>IF(OR(Data!C488="",Data!C487=""),"",Data!C488/Data!C487-1)</f>
        <v>1.1655031135797911E-2</v>
      </c>
      <c r="D487">
        <f>IF(OR(Data!D488="",Data!D487=""),"",Data!D488/Data!D487-1)</f>
        <v>1.7869494514555218E-2</v>
      </c>
    </row>
    <row r="488" spans="1:4" x14ac:dyDescent="0.35">
      <c r="A488" t="str">
        <f>Data!A489</f>
        <v>2023-11-15</v>
      </c>
      <c r="B488">
        <f>IF(OR(Data!B489="",Data!B488=""),"",Data!B489/Data!B488-1)</f>
        <v>-2.1007180548305748E-2</v>
      </c>
      <c r="C488">
        <f>IF(OR(Data!C489="",Data!C488=""),"",Data!C489/Data!C488-1)</f>
        <v>6.0229119806283204E-3</v>
      </c>
      <c r="D488">
        <f>IF(OR(Data!D489="",Data!D488=""),"",Data!D489/Data!D488-1)</f>
        <v>-1.3149141705526279E-3</v>
      </c>
    </row>
    <row r="489" spans="1:4" x14ac:dyDescent="0.35">
      <c r="A489" t="str">
        <f>Data!A490</f>
        <v>2023-11-16</v>
      </c>
      <c r="B489">
        <f>IF(OR(Data!B490="",Data!B489=""),"",Data!B490/Data!B489-1)</f>
        <v>3.4732488904013925E-2</v>
      </c>
      <c r="C489">
        <f>IF(OR(Data!C490="",Data!C489=""),"",Data!C490/Data!C489-1)</f>
        <v>1.982786030171102E-2</v>
      </c>
      <c r="D489">
        <f>IF(OR(Data!D490="",Data!D489=""),"",Data!D490/Data!D489-1)</f>
        <v>3.4875127608916312E-2</v>
      </c>
    </row>
    <row r="490" spans="1:4" x14ac:dyDescent="0.35">
      <c r="A490" t="str">
        <f>Data!A491</f>
        <v>2023-11-17</v>
      </c>
      <c r="B490">
        <f>IF(OR(Data!B491="",Data!B490=""),"",Data!B491/Data!B490-1)</f>
        <v>1.8195920398240029E-2</v>
      </c>
      <c r="C490">
        <f>IF(OR(Data!C491="",Data!C490=""),"",Data!C491/Data!C490-1)</f>
        <v>1.043908440611041E-2</v>
      </c>
      <c r="D490">
        <f>IF(OR(Data!D491="",Data!D490=""),"",Data!D491/Data!D490-1)</f>
        <v>-9.4276584761838755E-3</v>
      </c>
    </row>
    <row r="491" spans="1:4" x14ac:dyDescent="0.35">
      <c r="A491" t="str">
        <f>Data!A492</f>
        <v>2023-11-20</v>
      </c>
      <c r="B491">
        <f>IF(OR(Data!B492="",Data!B491=""),"",Data!B492/Data!B491-1)</f>
        <v>2.4055609306650183E-4</v>
      </c>
      <c r="C491">
        <f>IF(OR(Data!C492="",Data!C491=""),"",Data!C492/Data!C491-1)</f>
        <v>-1.7875345601703341E-3</v>
      </c>
      <c r="D491">
        <f>IF(OR(Data!D492="",Data!D491=""),"",Data!D492/Data!D491-1)</f>
        <v>1.7642089412908124E-2</v>
      </c>
    </row>
    <row r="492" spans="1:4" x14ac:dyDescent="0.35">
      <c r="A492" t="str">
        <f>Data!A493</f>
        <v>2023-11-21</v>
      </c>
      <c r="B492">
        <f>IF(OR(Data!B493="",Data!B492=""),"",Data!B493/Data!B492-1)</f>
        <v>3.0453278679225759E-2</v>
      </c>
      <c r="C492">
        <f>IF(OR(Data!C493="",Data!C492=""),"",Data!C493/Data!C492-1)</f>
        <v>-1.7914699933645695E-2</v>
      </c>
      <c r="D492">
        <f>IF(OR(Data!D493="",Data!D492=""),"",Data!D493/Data!D492-1)</f>
        <v>-2.9593385469946165E-2</v>
      </c>
    </row>
    <row r="493" spans="1:4" x14ac:dyDescent="0.35">
      <c r="A493" t="str">
        <f>Data!A494</f>
        <v>2023-11-22</v>
      </c>
      <c r="B493">
        <f>IF(OR(Data!B494="",Data!B493=""),"",Data!B494/Data!B493-1)</f>
        <v>1.9493263228043123E-3</v>
      </c>
      <c r="C493">
        <f>IF(OR(Data!C494="",Data!C493=""),"",Data!C494/Data!C493-1)</f>
        <v>-2.8436995926934827E-3</v>
      </c>
      <c r="D493">
        <f>IF(OR(Data!D494="",Data!D493=""),"",Data!D494/Data!D493-1)</f>
        <v>-1.5660693076724463E-4</v>
      </c>
    </row>
    <row r="494" spans="1:4" x14ac:dyDescent="0.35">
      <c r="A494" t="str">
        <f>Data!A495</f>
        <v>2023-11-23</v>
      </c>
      <c r="B494">
        <f>IF(OR(Data!B495="",Data!B494=""),"",Data!B495/Data!B494-1)</f>
        <v>-1.6685003713801327E-2</v>
      </c>
      <c r="C494">
        <f>IF(OR(Data!C495="",Data!C494=""),"",Data!C495/Data!C494-1)</f>
        <v>-1.2392947103274543E-2</v>
      </c>
      <c r="D494">
        <f>IF(OR(Data!D495="",Data!D494=""),"",Data!D495/Data!D494-1)</f>
        <v>-4.6693983409206163E-3</v>
      </c>
    </row>
    <row r="495" spans="1:4" x14ac:dyDescent="0.35">
      <c r="A495" t="str">
        <f>Data!A496</f>
        <v>2023-11-24</v>
      </c>
      <c r="B495">
        <f>IF(OR(Data!B496="",Data!B495=""),"",Data!B496/Data!B495-1)</f>
        <v>3.1343861740166679E-2</v>
      </c>
      <c r="C495">
        <f>IF(OR(Data!C496="",Data!C495=""),"",Data!C496/Data!C495-1)</f>
        <v>-8.3847890497217303E-3</v>
      </c>
      <c r="D495">
        <f>IF(OR(Data!D496="",Data!D495=""),"",Data!D496/Data!D495-1)</f>
        <v>7.3360330932719098E-3</v>
      </c>
    </row>
    <row r="496" spans="1:4" x14ac:dyDescent="0.35">
      <c r="A496" t="str">
        <f>Data!A497</f>
        <v>2023-11-27</v>
      </c>
      <c r="B496">
        <f>IF(OR(Data!B497="",Data!B496=""),"",Data!B497/Data!B496-1)</f>
        <v>1.1241076046099696E-2</v>
      </c>
      <c r="C496">
        <f>IF(OR(Data!C497="",Data!C496=""),"",Data!C497/Data!C496-1)</f>
        <v>9.1575542830810708E-3</v>
      </c>
      <c r="D496">
        <f>IF(OR(Data!D497="",Data!D496=""),"",Data!D497/Data!D496-1)</f>
        <v>-1.0480480141058401E-2</v>
      </c>
    </row>
    <row r="497" spans="1:4" x14ac:dyDescent="0.35">
      <c r="A497" t="str">
        <f>Data!A498</f>
        <v>2023-11-28</v>
      </c>
      <c r="B497">
        <f>IF(OR(Data!B498="",Data!B497=""),"",Data!B498/Data!B497-1)</f>
        <v>-2.0139438972771373E-2</v>
      </c>
      <c r="C497">
        <f>IF(OR(Data!C498="",Data!C497=""),"",Data!C498/Data!C497-1)</f>
        <v>2.5659814855262031E-2</v>
      </c>
      <c r="D497">
        <f>IF(OR(Data!D498="",Data!D497=""),"",Data!D498/Data!D497-1)</f>
        <v>-3.3883937112783036E-3</v>
      </c>
    </row>
    <row r="498" spans="1:4" x14ac:dyDescent="0.35">
      <c r="A498" t="str">
        <f>Data!A499</f>
        <v>2023-11-29</v>
      </c>
      <c r="B498">
        <f>IF(OR(Data!B499="",Data!B498=""),"",Data!B499/Data!B498-1)</f>
        <v>-3.4012638472478152E-3</v>
      </c>
      <c r="C498">
        <f>IF(OR(Data!C499="",Data!C498=""),"",Data!C499/Data!C498-1)</f>
        <v>6.2270422450034779E-3</v>
      </c>
      <c r="D498">
        <f>IF(OR(Data!D499="",Data!D498=""),"",Data!D499/Data!D498-1)</f>
        <v>2.5654900955913718E-2</v>
      </c>
    </row>
    <row r="499" spans="1:4" x14ac:dyDescent="0.35">
      <c r="A499" t="str">
        <f>Data!A500</f>
        <v>2023-11-30</v>
      </c>
      <c r="B499">
        <f>IF(OR(Data!B500="",Data!B499=""),"",Data!B500/Data!B499-1)</f>
        <v>-1.6966347444405616E-2</v>
      </c>
      <c r="C499">
        <f>IF(OR(Data!C500="",Data!C499=""),"",Data!C500/Data!C499-1)</f>
        <v>-1.7495844864719556E-2</v>
      </c>
      <c r="D499">
        <f>IF(OR(Data!D500="",Data!D499=""),"",Data!D500/Data!D499-1)</f>
        <v>-1.2474467988304982E-2</v>
      </c>
    </row>
    <row r="500" spans="1:4" x14ac:dyDescent="0.35">
      <c r="A500" t="str">
        <f>Data!A501</f>
        <v>2023-12-01</v>
      </c>
      <c r="B500">
        <f>IF(OR(Data!B501="",Data!B500=""),"",Data!B501/Data!B500-1)</f>
        <v>-2.6888028923027885E-2</v>
      </c>
      <c r="C500">
        <f>IF(OR(Data!C501="",Data!C500=""),"",Data!C501/Data!C500-1)</f>
        <v>6.9807039858083009E-3</v>
      </c>
      <c r="D500">
        <f>IF(OR(Data!D501="",Data!D500=""),"",Data!D501/Data!D500-1)</f>
        <v>-4.6530077137237447E-2</v>
      </c>
    </row>
    <row r="501" spans="1:4" x14ac:dyDescent="0.35">
      <c r="A501" t="str">
        <f>Data!A502</f>
        <v>2023-12-04</v>
      </c>
      <c r="B501">
        <f>IF(OR(Data!B502="",Data!B501=""),"",Data!B502/Data!B501-1)</f>
        <v>1.9103960411180676E-2</v>
      </c>
      <c r="C501">
        <f>IF(OR(Data!C502="",Data!C501=""),"",Data!C502/Data!C501-1)</f>
        <v>1.8404198291124052E-2</v>
      </c>
      <c r="D501">
        <f>IF(OR(Data!D502="",Data!D501=""),"",Data!D502/Data!D501-1)</f>
        <v>5.4469021559912623E-2</v>
      </c>
    </row>
    <row r="502" spans="1:4" x14ac:dyDescent="0.35">
      <c r="A502" t="str">
        <f>Data!A503</f>
        <v>2023-12-05</v>
      </c>
      <c r="B502">
        <f>IF(OR(Data!B503="",Data!B502=""),"",Data!B503/Data!B502-1)</f>
        <v>3.9342631350308244E-2</v>
      </c>
      <c r="C502">
        <f>IF(OR(Data!C503="",Data!C502=""),"",Data!C503/Data!C502-1)</f>
        <v>-8.8202072505980667E-3</v>
      </c>
      <c r="D502">
        <f>IF(OR(Data!D503="",Data!D502=""),"",Data!D503/Data!D502-1)</f>
        <v>4.2887795372124948E-2</v>
      </c>
    </row>
    <row r="503" spans="1:4" x14ac:dyDescent="0.35">
      <c r="A503" t="str">
        <f>Data!A504</f>
        <v>2023-12-06</v>
      </c>
      <c r="B503">
        <f>IF(OR(Data!B504="",Data!B503=""),"",Data!B504/Data!B503-1)</f>
        <v>-2.7194777031992468E-2</v>
      </c>
      <c r="C503">
        <f>IF(OR(Data!C504="",Data!C503=""),"",Data!C504/Data!C503-1)</f>
        <v>-1.7212232881478329E-3</v>
      </c>
      <c r="D503">
        <f>IF(OR(Data!D504="",Data!D503=""),"",Data!D504/Data!D503-1)</f>
        <v>-3.7496772005288226E-2</v>
      </c>
    </row>
    <row r="504" spans="1:4" x14ac:dyDescent="0.35">
      <c r="A504" t="str">
        <f>Data!A505</f>
        <v>2023-12-07</v>
      </c>
      <c r="B504">
        <f>IF(OR(Data!B505="",Data!B504=""),"",Data!B505/Data!B504-1)</f>
        <v>1.172756779860995E-2</v>
      </c>
      <c r="C504">
        <f>IF(OR(Data!C505="",Data!C504=""),"",Data!C505/Data!C504-1)</f>
        <v>5.0792608392824512E-4</v>
      </c>
      <c r="D504">
        <f>IF(OR(Data!D505="",Data!D504=""),"",Data!D505/Data!D504-1)</f>
        <v>2.1468401673070625E-2</v>
      </c>
    </row>
    <row r="505" spans="1:4" x14ac:dyDescent="0.35">
      <c r="A505" t="str">
        <f>Data!A506</f>
        <v>2023-12-08</v>
      </c>
      <c r="B505">
        <f>IF(OR(Data!B506="",Data!B505=""),"",Data!B506/Data!B505-1)</f>
        <v>-1.2534124298260618E-2</v>
      </c>
      <c r="C505">
        <f>IF(OR(Data!C506="",Data!C505=""),"",Data!C506/Data!C505-1)</f>
        <v>-1.1420291601552113E-2</v>
      </c>
      <c r="D505">
        <f>IF(OR(Data!D506="",Data!D505=""),"",Data!D506/Data!D505-1)</f>
        <v>-1.4433812552532288E-2</v>
      </c>
    </row>
    <row r="506" spans="1:4" x14ac:dyDescent="0.35">
      <c r="A506" t="str">
        <f>Data!A507</f>
        <v>2023-12-11</v>
      </c>
      <c r="B506">
        <f>IF(OR(Data!B507="",Data!B506=""),"",Data!B507/Data!B506-1)</f>
        <v>-9.2987568232850704E-3</v>
      </c>
      <c r="C506">
        <f>IF(OR(Data!C507="",Data!C506=""),"",Data!C507/Data!C506-1)</f>
        <v>1.0062197784740823E-2</v>
      </c>
      <c r="D506">
        <f>IF(OR(Data!D507="",Data!D506=""),"",Data!D507/Data!D506-1)</f>
        <v>8.490460215163198E-3</v>
      </c>
    </row>
    <row r="507" spans="1:4" x14ac:dyDescent="0.35">
      <c r="A507" t="str">
        <f>Data!A508</f>
        <v>2023-12-12</v>
      </c>
      <c r="B507">
        <f>IF(OR(Data!B508="",Data!B507=""),"",Data!B508/Data!B507-1)</f>
        <v>-1.1382601459000163E-2</v>
      </c>
      <c r="C507">
        <f>IF(OR(Data!C508="",Data!C507=""),"",Data!C508/Data!C507-1)</f>
        <v>-1.5255723544335131E-3</v>
      </c>
      <c r="D507">
        <f>IF(OR(Data!D508="",Data!D507=""),"",Data!D508/Data!D507-1)</f>
        <v>9.4208160394866347E-3</v>
      </c>
    </row>
    <row r="508" spans="1:4" x14ac:dyDescent="0.35">
      <c r="A508" t="str">
        <f>Data!A509</f>
        <v>2023-12-13</v>
      </c>
      <c r="B508">
        <f>IF(OR(Data!B509="",Data!B508=""),"",Data!B509/Data!B508-1)</f>
        <v>-1.6738105638673728E-2</v>
      </c>
      <c r="C508">
        <f>IF(OR(Data!C509="",Data!C508=""),"",Data!C509/Data!C508-1)</f>
        <v>6.6021623383574202E-3</v>
      </c>
      <c r="D508">
        <f>IF(OR(Data!D509="",Data!D508=""),"",Data!D509/Data!D508-1)</f>
        <v>-6.461323492865767E-3</v>
      </c>
    </row>
    <row r="509" spans="1:4" x14ac:dyDescent="0.35">
      <c r="A509" t="str">
        <f>Data!A510</f>
        <v>2023-12-14</v>
      </c>
      <c r="B509">
        <f>IF(OR(Data!B510="",Data!B509=""),"",Data!B510/Data!B509-1)</f>
        <v>1.3713453607573367E-3</v>
      </c>
      <c r="C509">
        <f>IF(OR(Data!C510="",Data!C509=""),"",Data!C510/Data!C509-1)</f>
        <v>-1.2940478779511766E-2</v>
      </c>
      <c r="D509">
        <f>IF(OR(Data!D510="",Data!D509=""),"",Data!D510/Data!D509-1)</f>
        <v>-2.270113721992284E-2</v>
      </c>
    </row>
    <row r="510" spans="1:4" x14ac:dyDescent="0.35">
      <c r="A510" t="str">
        <f>Data!A511</f>
        <v>2023-12-15</v>
      </c>
      <c r="B510">
        <f>IF(OR(Data!B511="",Data!B510=""),"",Data!B511/Data!B510-1)</f>
        <v>-1.6088545537870313E-2</v>
      </c>
      <c r="C510">
        <f>IF(OR(Data!C511="",Data!C510=""),"",Data!C511/Data!C510-1)</f>
        <v>-6.2546589638464711E-3</v>
      </c>
      <c r="D510">
        <f>IF(OR(Data!D511="",Data!D510=""),"",Data!D511/Data!D510-1)</f>
        <v>-1.996442612989302E-2</v>
      </c>
    </row>
    <row r="511" spans="1:4" x14ac:dyDescent="0.35">
      <c r="A511" t="str">
        <f>Data!A512</f>
        <v>2023-12-18</v>
      </c>
      <c r="B511">
        <f>IF(OR(Data!B512="",Data!B511=""),"",Data!B512/Data!B511-1)</f>
        <v>5.826556038035724E-3</v>
      </c>
      <c r="C511">
        <f>IF(OR(Data!C512="",Data!C511=""),"",Data!C512/Data!C511-1)</f>
        <v>1.1185146984324268E-2</v>
      </c>
      <c r="D511">
        <f>IF(OR(Data!D512="",Data!D511=""),"",Data!D512/Data!D511-1)</f>
        <v>-2.6576369233447639E-2</v>
      </c>
    </row>
    <row r="512" spans="1:4" x14ac:dyDescent="0.35">
      <c r="A512" t="str">
        <f>Data!A513</f>
        <v>2023-12-19</v>
      </c>
      <c r="B512">
        <f>IF(OR(Data!B513="",Data!B512=""),"",Data!B513/Data!B512-1)</f>
        <v>-6.0473043965536544E-4</v>
      </c>
      <c r="C512">
        <f>IF(OR(Data!C513="",Data!C512=""),"",Data!C513/Data!C512-1)</f>
        <v>-5.2906799096799073E-3</v>
      </c>
      <c r="D512">
        <f>IF(OR(Data!D513="",Data!D512=""),"",Data!D513/Data!D512-1)</f>
        <v>-2.41091420192725E-2</v>
      </c>
    </row>
    <row r="513" spans="1:4" x14ac:dyDescent="0.35">
      <c r="A513" t="str">
        <f>Data!A514</f>
        <v>2023-12-20</v>
      </c>
      <c r="B513">
        <f>IF(OR(Data!B514="",Data!B513=""),"",Data!B514/Data!B513-1)</f>
        <v>-4.369621203448637E-3</v>
      </c>
      <c r="C513">
        <f>IF(OR(Data!C514="",Data!C513=""),"",Data!C514/Data!C513-1)</f>
        <v>2.6537778932979705E-2</v>
      </c>
      <c r="D513">
        <f>IF(OR(Data!D514="",Data!D513=""),"",Data!D514/Data!D513-1)</f>
        <v>-1.4644592004605661E-3</v>
      </c>
    </row>
    <row r="514" spans="1:4" x14ac:dyDescent="0.35">
      <c r="A514" t="str">
        <f>Data!A515</f>
        <v>2023-12-21</v>
      </c>
      <c r="B514">
        <f>IF(OR(Data!B515="",Data!B514=""),"",Data!B515/Data!B514-1)</f>
        <v>-1.7594303244003462E-2</v>
      </c>
      <c r="C514">
        <f>IF(OR(Data!C515="",Data!C514=""),"",Data!C515/Data!C514-1)</f>
        <v>-5.6908746408912414E-3</v>
      </c>
      <c r="D514">
        <f>IF(OR(Data!D515="",Data!D514=""),"",Data!D515/Data!D514-1)</f>
        <v>-2.0705218056061736E-2</v>
      </c>
    </row>
    <row r="515" spans="1:4" x14ac:dyDescent="0.35">
      <c r="A515" t="str">
        <f>Data!A516</f>
        <v>2023-12-22</v>
      </c>
      <c r="B515">
        <f>IF(OR(Data!B516="",Data!B515=""),"",Data!B516/Data!B515-1)</f>
        <v>-1.1074150389971948E-2</v>
      </c>
      <c r="C515">
        <f>IF(OR(Data!C516="",Data!C515=""),"",Data!C516/Data!C515-1)</f>
        <v>3.6646798875479281E-3</v>
      </c>
      <c r="D515">
        <f>IF(OR(Data!D516="",Data!D515=""),"",Data!D516/Data!D515-1)</f>
        <v>2.1233605464970218E-2</v>
      </c>
    </row>
    <row r="516" spans="1:4" x14ac:dyDescent="0.35">
      <c r="A516" t="str">
        <f>Data!A517</f>
        <v>2023-12-25</v>
      </c>
      <c r="B516">
        <f>IF(OR(Data!B517="",Data!B516=""),"",Data!B517/Data!B516-1)</f>
        <v>1.5629440639443937E-2</v>
      </c>
      <c r="C516">
        <f>IF(OR(Data!C517="",Data!C516=""),"",Data!C517/Data!C516-1)</f>
        <v>1.4378648810815964E-2</v>
      </c>
      <c r="D516">
        <f>IF(OR(Data!D517="",Data!D516=""),"",Data!D517/Data!D516-1)</f>
        <v>4.620311050647552E-2</v>
      </c>
    </row>
    <row r="517" spans="1:4" x14ac:dyDescent="0.35">
      <c r="A517" t="str">
        <f>Data!A518</f>
        <v>2023-12-26</v>
      </c>
      <c r="B517">
        <f>IF(OR(Data!B518="",Data!B517=""),"",Data!B518/Data!B517-1)</f>
        <v>1.0472519841584482E-2</v>
      </c>
      <c r="C517">
        <f>IF(OR(Data!C518="",Data!C517=""),"",Data!C518/Data!C517-1)</f>
        <v>-2.0769322777665633E-2</v>
      </c>
      <c r="D517">
        <f>IF(OR(Data!D518="",Data!D517=""),"",Data!D518/Data!D517-1)</f>
        <v>-1.6710508133495394E-2</v>
      </c>
    </row>
    <row r="518" spans="1:4" x14ac:dyDescent="0.35">
      <c r="A518" t="str">
        <f>Data!A519</f>
        <v>2023-12-27</v>
      </c>
      <c r="B518">
        <f>IF(OR(Data!B519="",Data!B518=""),"",Data!B519/Data!B518-1)</f>
        <v>-1.8969124572547402E-2</v>
      </c>
      <c r="C518">
        <f>IF(OR(Data!C519="",Data!C518=""),"",Data!C519/Data!C518-1)</f>
        <v>-2.5786247546704E-2</v>
      </c>
      <c r="D518">
        <f>IF(OR(Data!D519="",Data!D518=""),"",Data!D519/Data!D518-1)</f>
        <v>7.7621797385565294E-3</v>
      </c>
    </row>
    <row r="519" spans="1:4" x14ac:dyDescent="0.35">
      <c r="A519" t="str">
        <f>Data!A520</f>
        <v>2023-12-28</v>
      </c>
      <c r="B519">
        <f>IF(OR(Data!B520="",Data!B519=""),"",Data!B520/Data!B519-1)</f>
        <v>2.3894002749249577E-3</v>
      </c>
      <c r="C519">
        <f>IF(OR(Data!C520="",Data!C519=""),"",Data!C520/Data!C519-1)</f>
        <v>-2.2343939020428416E-2</v>
      </c>
      <c r="D519">
        <f>IF(OR(Data!D520="",Data!D519=""),"",Data!D520/Data!D519-1)</f>
        <v>1.5661976535426447E-2</v>
      </c>
    </row>
    <row r="520" spans="1:4" x14ac:dyDescent="0.35">
      <c r="A520" t="str">
        <f>Data!A521</f>
        <v>2023-12-29</v>
      </c>
      <c r="B520">
        <f>IF(OR(Data!B521="",Data!B520=""),"",Data!B521/Data!B520-1)</f>
        <v>1.5547530097462126E-2</v>
      </c>
      <c r="C520">
        <f>IF(OR(Data!C521="",Data!C520=""),"",Data!C521/Data!C520-1)</f>
        <v>1.9412316943938634E-2</v>
      </c>
      <c r="D520">
        <f>IF(OR(Data!D521="",Data!D520=""),"",Data!D521/Data!D520-1)</f>
        <v>1.4818639388443522E-2</v>
      </c>
    </row>
    <row r="521" spans="1:4" x14ac:dyDescent="0.35">
      <c r="A521" t="str">
        <f>Data!A522</f>
        <v>2024-01-01</v>
      </c>
      <c r="B521">
        <f>IF(OR(Data!B522="",Data!B521=""),"",Data!B522/Data!B521-1)</f>
        <v>-3.245011783189311E-2</v>
      </c>
      <c r="C521">
        <f>IF(OR(Data!C522="",Data!C521=""),"",Data!C522/Data!C521-1)</f>
        <v>-7.9584373785773765E-3</v>
      </c>
      <c r="D521">
        <f>IF(OR(Data!D522="",Data!D521=""),"",Data!D522/Data!D521-1)</f>
        <v>2.8327108633834364E-3</v>
      </c>
    </row>
    <row r="522" spans="1:4" x14ac:dyDescent="0.35">
      <c r="A522" t="str">
        <f>Data!A523</f>
        <v>2024-01-02</v>
      </c>
      <c r="B522">
        <f>IF(OR(Data!B523="",Data!B522=""),"",Data!B523/Data!B522-1)</f>
        <v>1.1331575857906007E-2</v>
      </c>
      <c r="C522">
        <f>IF(OR(Data!C523="",Data!C522=""),"",Data!C523/Data!C522-1)</f>
        <v>3.9417238593874693E-2</v>
      </c>
      <c r="D522">
        <f>IF(OR(Data!D523="",Data!D522=""),"",Data!D523/Data!D522-1)</f>
        <v>2.3093301040169933E-2</v>
      </c>
    </row>
    <row r="523" spans="1:4" x14ac:dyDescent="0.35">
      <c r="A523" t="str">
        <f>Data!A524</f>
        <v>2024-01-03</v>
      </c>
      <c r="B523">
        <f>IF(OR(Data!B524="",Data!B523=""),"",Data!B524/Data!B523-1)</f>
        <v>-1.2770863036748792E-2</v>
      </c>
      <c r="C523">
        <f>IF(OR(Data!C524="",Data!C523=""),"",Data!C524/Data!C523-1)</f>
        <v>-8.1428495175736026E-3</v>
      </c>
      <c r="D523">
        <f>IF(OR(Data!D524="",Data!D523=""),"",Data!D524/Data!D523-1)</f>
        <v>1.5130542035293626E-2</v>
      </c>
    </row>
    <row r="524" spans="1:4" x14ac:dyDescent="0.35">
      <c r="A524" t="str">
        <f>Data!A525</f>
        <v>2024-01-04</v>
      </c>
      <c r="B524">
        <f>IF(OR(Data!B525="",Data!B524=""),"",Data!B525/Data!B524-1)</f>
        <v>1.1882186478442414E-2</v>
      </c>
      <c r="C524">
        <f>IF(OR(Data!C525="",Data!C524=""),"",Data!C525/Data!C524-1)</f>
        <v>3.0604187654859061E-3</v>
      </c>
      <c r="D524">
        <f>IF(OR(Data!D525="",Data!D524=""),"",Data!D525/Data!D524-1)</f>
        <v>-3.5918599753339775E-2</v>
      </c>
    </row>
    <row r="525" spans="1:4" x14ac:dyDescent="0.35">
      <c r="A525" t="str">
        <f>Data!A526</f>
        <v>2024-01-05</v>
      </c>
      <c r="B525">
        <f>IF(OR(Data!B526="",Data!B525=""),"",Data!B526/Data!B525-1)</f>
        <v>-1.4755471120711738E-2</v>
      </c>
      <c r="C525">
        <f>IF(OR(Data!C526="",Data!C525=""),"",Data!C526/Data!C525-1)</f>
        <v>2.3695538248850623E-2</v>
      </c>
      <c r="D525">
        <f>IF(OR(Data!D526="",Data!D525=""),"",Data!D526/Data!D525-1)</f>
        <v>2.6982061848599859E-2</v>
      </c>
    </row>
    <row r="526" spans="1:4" x14ac:dyDescent="0.35">
      <c r="A526" t="str">
        <f>Data!A527</f>
        <v>2024-01-08</v>
      </c>
      <c r="B526">
        <f>IF(OR(Data!B527="",Data!B526=""),"",Data!B527/Data!B526-1)</f>
        <v>-3.5067957268854366E-2</v>
      </c>
      <c r="C526">
        <f>IF(OR(Data!C527="",Data!C526=""),"",Data!C527/Data!C526-1)</f>
        <v>3.0845272009653257E-2</v>
      </c>
      <c r="D526">
        <f>IF(OR(Data!D527="",Data!D526=""),"",Data!D527/Data!D526-1)</f>
        <v>2.7541189419871603E-2</v>
      </c>
    </row>
    <row r="527" spans="1:4" x14ac:dyDescent="0.35">
      <c r="A527" t="str">
        <f>Data!A528</f>
        <v>2024-01-09</v>
      </c>
      <c r="B527">
        <f>IF(OR(Data!B528="",Data!B527=""),"",Data!B528/Data!B527-1)</f>
        <v>-3.1639106744052015E-2</v>
      </c>
      <c r="C527">
        <f>IF(OR(Data!C528="",Data!C527=""),"",Data!C528/Data!C527-1)</f>
        <v>3.170204550021416E-2</v>
      </c>
      <c r="D527">
        <f>IF(OR(Data!D528="",Data!D527=""),"",Data!D528/Data!D527-1)</f>
        <v>-2.2100788710404329E-2</v>
      </c>
    </row>
    <row r="528" spans="1:4" x14ac:dyDescent="0.35">
      <c r="A528" t="str">
        <f>Data!A529</f>
        <v>2024-01-10</v>
      </c>
      <c r="B528">
        <f>IF(OR(Data!B529="",Data!B528=""),"",Data!B529/Data!B528-1)</f>
        <v>1.3626416217618065E-3</v>
      </c>
      <c r="C528">
        <f>IF(OR(Data!C529="",Data!C528=""),"",Data!C529/Data!C528-1)</f>
        <v>1.8583642229614838E-2</v>
      </c>
      <c r="D528">
        <f>IF(OR(Data!D529="",Data!D528=""),"",Data!D529/Data!D528-1)</f>
        <v>1.6896157824657365E-3</v>
      </c>
    </row>
    <row r="529" spans="1:4" x14ac:dyDescent="0.35">
      <c r="A529" t="str">
        <f>Data!A530</f>
        <v>2024-01-11</v>
      </c>
      <c r="B529">
        <f>IF(OR(Data!B530="",Data!B529=""),"",Data!B530/Data!B529-1)</f>
        <v>5.6096519139068324E-3</v>
      </c>
      <c r="C529">
        <f>IF(OR(Data!C530="",Data!C529=""),"",Data!C530/Data!C529-1)</f>
        <v>1.5771470763729978E-2</v>
      </c>
      <c r="D529">
        <f>IF(OR(Data!D530="",Data!D529=""),"",Data!D530/Data!D529-1)</f>
        <v>2.1273074971704942E-2</v>
      </c>
    </row>
    <row r="530" spans="1:4" x14ac:dyDescent="0.35">
      <c r="A530" t="str">
        <f>Data!A531</f>
        <v>2024-01-12</v>
      </c>
      <c r="B530">
        <f>IF(OR(Data!B531="",Data!B530=""),"",Data!B531/Data!B530-1)</f>
        <v>-1.7530871689068195E-2</v>
      </c>
      <c r="C530">
        <f>IF(OR(Data!C531="",Data!C530=""),"",Data!C531/Data!C530-1)</f>
        <v>9.2175239836214118E-3</v>
      </c>
      <c r="D530">
        <f>IF(OR(Data!D531="",Data!D530=""),"",Data!D531/Data!D530-1)</f>
        <v>-5.713067217770651E-3</v>
      </c>
    </row>
    <row r="531" spans="1:4" x14ac:dyDescent="0.35">
      <c r="A531" t="str">
        <f>Data!A532</f>
        <v>2024-01-15</v>
      </c>
      <c r="B531">
        <f>IF(OR(Data!B532="",Data!B531=""),"",Data!B532/Data!B531-1)</f>
        <v>1.325901625458159E-2</v>
      </c>
      <c r="C531">
        <f>IF(OR(Data!C532="",Data!C531=""),"",Data!C532/Data!C531-1)</f>
        <v>1.2034891691031113E-2</v>
      </c>
      <c r="D531">
        <f>IF(OR(Data!D532="",Data!D531=""),"",Data!D532/Data!D531-1)</f>
        <v>3.328121673050588E-2</v>
      </c>
    </row>
    <row r="532" spans="1:4" x14ac:dyDescent="0.35">
      <c r="A532" t="str">
        <f>Data!A533</f>
        <v>2024-01-16</v>
      </c>
      <c r="B532">
        <f>IF(OR(Data!B533="",Data!B532=""),"",Data!B533/Data!B532-1)</f>
        <v>-3.2297110075245827E-2</v>
      </c>
      <c r="C532">
        <f>IF(OR(Data!C533="",Data!C532=""),"",Data!C533/Data!C532-1)</f>
        <v>-7.9485757460187045E-3</v>
      </c>
      <c r="D532">
        <f>IF(OR(Data!D533="",Data!D532=""),"",Data!D533/Data!D532-1)</f>
        <v>7.4081692394616816E-2</v>
      </c>
    </row>
    <row r="533" spans="1:4" x14ac:dyDescent="0.35">
      <c r="A533" t="str">
        <f>Data!A534</f>
        <v>2024-01-17</v>
      </c>
      <c r="B533">
        <f>IF(OR(Data!B534="",Data!B533=""),"",Data!B534/Data!B533-1)</f>
        <v>-9.2145993808945281E-4</v>
      </c>
      <c r="C533">
        <f>IF(OR(Data!C534="",Data!C533=""),"",Data!C534/Data!C533-1)</f>
        <v>-1.1914028509057872E-2</v>
      </c>
      <c r="D533">
        <f>IF(OR(Data!D534="",Data!D533=""),"",Data!D534/Data!D533-1)</f>
        <v>-2.2766184977503934E-2</v>
      </c>
    </row>
    <row r="534" spans="1:4" x14ac:dyDescent="0.35">
      <c r="A534" t="str">
        <f>Data!A535</f>
        <v>2024-01-18</v>
      </c>
      <c r="B534">
        <f>IF(OR(Data!B535="",Data!B534=""),"",Data!B535/Data!B534-1)</f>
        <v>-2.3538715395368226E-2</v>
      </c>
      <c r="C534">
        <f>IF(OR(Data!C535="",Data!C534=""),"",Data!C535/Data!C534-1)</f>
        <v>2.3701372895668094E-4</v>
      </c>
      <c r="D534">
        <f>IF(OR(Data!D535="",Data!D534=""),"",Data!D535/Data!D534-1)</f>
        <v>-4.0057040068379957E-2</v>
      </c>
    </row>
    <row r="535" spans="1:4" x14ac:dyDescent="0.35">
      <c r="A535" t="str">
        <f>Data!A536</f>
        <v>2024-01-19</v>
      </c>
      <c r="B535">
        <f>IF(OR(Data!B536="",Data!B535=""),"",Data!B536/Data!B535-1)</f>
        <v>-1.2556704872698776E-2</v>
      </c>
      <c r="C535">
        <f>IF(OR(Data!C536="",Data!C535=""),"",Data!C536/Data!C535-1)</f>
        <v>-2.2625625729344456E-3</v>
      </c>
      <c r="D535">
        <f>IF(OR(Data!D536="",Data!D535=""),"",Data!D536/Data!D535-1)</f>
        <v>9.7111678799779444E-3</v>
      </c>
    </row>
    <row r="536" spans="1:4" x14ac:dyDescent="0.35">
      <c r="A536" t="str">
        <f>Data!A537</f>
        <v>2024-01-22</v>
      </c>
      <c r="B536">
        <f>IF(OR(Data!B537="",Data!B536=""),"",Data!B537/Data!B536-1)</f>
        <v>1.3488910415513367E-3</v>
      </c>
      <c r="C536">
        <f>IF(OR(Data!C537="",Data!C536=""),"",Data!C537/Data!C536-1)</f>
        <v>-6.4898251730990397E-3</v>
      </c>
      <c r="D536">
        <f>IF(OR(Data!D537="",Data!D536=""),"",Data!D537/Data!D536-1)</f>
        <v>2.2445236927023382E-2</v>
      </c>
    </row>
    <row r="537" spans="1:4" x14ac:dyDescent="0.35">
      <c r="A537" t="str">
        <f>Data!A538</f>
        <v>2024-01-23</v>
      </c>
      <c r="B537">
        <f>IF(OR(Data!B538="",Data!B537=""),"",Data!B538/Data!B537-1)</f>
        <v>-1.6667708379005441E-2</v>
      </c>
      <c r="C537">
        <f>IF(OR(Data!C538="",Data!C537=""),"",Data!C538/Data!C537-1)</f>
        <v>1.0791068979560947E-2</v>
      </c>
      <c r="D537">
        <f>IF(OR(Data!D538="",Data!D537=""),"",Data!D538/Data!D537-1)</f>
        <v>-6.3557178038409212E-3</v>
      </c>
    </row>
    <row r="538" spans="1:4" x14ac:dyDescent="0.35">
      <c r="A538" t="str">
        <f>Data!A539</f>
        <v>2024-01-24</v>
      </c>
      <c r="B538">
        <f>IF(OR(Data!B539="",Data!B538=""),"",Data!B539/Data!B538-1)</f>
        <v>-7.2650618640226483E-3</v>
      </c>
      <c r="C538">
        <f>IF(OR(Data!C539="",Data!C538=""),"",Data!C539/Data!C538-1)</f>
        <v>1.4724522335286094E-2</v>
      </c>
      <c r="D538">
        <f>IF(OR(Data!D539="",Data!D538=""),"",Data!D539/Data!D538-1)</f>
        <v>4.5136990812098654E-2</v>
      </c>
    </row>
    <row r="539" spans="1:4" x14ac:dyDescent="0.35">
      <c r="A539" t="str">
        <f>Data!A540</f>
        <v>2024-01-25</v>
      </c>
      <c r="B539">
        <f>IF(OR(Data!B540="",Data!B539=""),"",Data!B540/Data!B539-1)</f>
        <v>2.0738168321184025E-2</v>
      </c>
      <c r="C539">
        <f>IF(OR(Data!C540="",Data!C539=""),"",Data!C540/Data!C539-1)</f>
        <v>1.6147306652083415E-3</v>
      </c>
      <c r="D539">
        <f>IF(OR(Data!D540="",Data!D539=""),"",Data!D540/Data!D539-1)</f>
        <v>-3.8834262795659158E-2</v>
      </c>
    </row>
    <row r="540" spans="1:4" x14ac:dyDescent="0.35">
      <c r="A540" t="str">
        <f>Data!A541</f>
        <v>2024-01-26</v>
      </c>
      <c r="B540">
        <f>IF(OR(Data!B541="",Data!B540=""),"",Data!B541/Data!B540-1)</f>
        <v>-1.1076377478750232E-2</v>
      </c>
      <c r="C540">
        <f>IF(OR(Data!C541="",Data!C540=""),"",Data!C541/Data!C540-1)</f>
        <v>2.2704337648834727E-2</v>
      </c>
      <c r="D540">
        <f>IF(OR(Data!D541="",Data!D540=""),"",Data!D541/Data!D540-1)</f>
        <v>2.1566909292306313E-2</v>
      </c>
    </row>
    <row r="541" spans="1:4" x14ac:dyDescent="0.35">
      <c r="A541" t="str">
        <f>Data!A542</f>
        <v>2024-01-29</v>
      </c>
      <c r="B541">
        <f>IF(OR(Data!B542="",Data!B541=""),"",Data!B542/Data!B541-1)</f>
        <v>1.726122741877778E-2</v>
      </c>
      <c r="C541">
        <f>IF(OR(Data!C542="",Data!C541=""),"",Data!C542/Data!C541-1)</f>
        <v>-1.6696839713165823E-2</v>
      </c>
      <c r="D541">
        <f>IF(OR(Data!D542="",Data!D541=""),"",Data!D542/Data!D541-1)</f>
        <v>-1.747119519934015E-2</v>
      </c>
    </row>
    <row r="542" spans="1:4" x14ac:dyDescent="0.35">
      <c r="A542" t="str">
        <f>Data!A543</f>
        <v>2024-01-30</v>
      </c>
      <c r="B542">
        <f>IF(OR(Data!B543="",Data!B542=""),"",Data!B543/Data!B542-1)</f>
        <v>-2.1949110821372408E-2</v>
      </c>
      <c r="C542">
        <f>IF(OR(Data!C543="",Data!C542=""),"",Data!C543/Data!C542-1)</f>
        <v>-2.6140639737972649E-3</v>
      </c>
      <c r="D542">
        <f>IF(OR(Data!D543="",Data!D542=""),"",Data!D543/Data!D542-1)</f>
        <v>5.3514060847594802E-2</v>
      </c>
    </row>
    <row r="543" spans="1:4" x14ac:dyDescent="0.35">
      <c r="A543" t="str">
        <f>Data!A544</f>
        <v>2024-01-31</v>
      </c>
      <c r="B543">
        <f>IF(OR(Data!B544="",Data!B543=""),"",Data!B544/Data!B543-1)</f>
        <v>1.1056705101879727E-2</v>
      </c>
      <c r="C543">
        <f>IF(OR(Data!C544="",Data!C543=""),"",Data!C544/Data!C543-1)</f>
        <v>-1.0410210926023455E-2</v>
      </c>
      <c r="D543">
        <f>IF(OR(Data!D544="",Data!D543=""),"",Data!D544/Data!D543-1)</f>
        <v>6.2182007655192439E-2</v>
      </c>
    </row>
    <row r="544" spans="1:4" x14ac:dyDescent="0.35">
      <c r="A544" t="str">
        <f>Data!A545</f>
        <v>2024-02-01</v>
      </c>
      <c r="B544">
        <f>IF(OR(Data!B545="",Data!B544=""),"",Data!B545/Data!B544-1)</f>
        <v>2.966215745657208E-2</v>
      </c>
      <c r="C544">
        <f>IF(OR(Data!C545="",Data!C544=""),"",Data!C545/Data!C544-1)</f>
        <v>-2.7330162581109319E-2</v>
      </c>
      <c r="D544">
        <f>IF(OR(Data!D545="",Data!D544=""),"",Data!D545/Data!D544-1)</f>
        <v>-2.2199392332261314E-2</v>
      </c>
    </row>
    <row r="545" spans="1:4" x14ac:dyDescent="0.35">
      <c r="A545" t="str">
        <f>Data!A546</f>
        <v>2024-02-02</v>
      </c>
      <c r="B545">
        <f>IF(OR(Data!B546="",Data!B545=""),"",Data!B546/Data!B545-1)</f>
        <v>-4.7850073668932236E-2</v>
      </c>
      <c r="C545">
        <f>IF(OR(Data!C546="",Data!C545=""),"",Data!C546/Data!C545-1)</f>
        <v>-9.5226769002076939E-4</v>
      </c>
      <c r="D545">
        <f>IF(OR(Data!D546="",Data!D545=""),"",Data!D546/Data!D545-1)</f>
        <v>-1.5810599005436132E-2</v>
      </c>
    </row>
    <row r="546" spans="1:4" x14ac:dyDescent="0.35">
      <c r="A546" t="str">
        <f>Data!A547</f>
        <v>2024-02-05</v>
      </c>
      <c r="B546">
        <f>IF(OR(Data!B547="",Data!B546=""),"",Data!B547/Data!B546-1)</f>
        <v>-1.5417593008566488E-2</v>
      </c>
      <c r="C546">
        <f>IF(OR(Data!C547="",Data!C546=""),"",Data!C547/Data!C546-1)</f>
        <v>-1.5374168169304259E-3</v>
      </c>
      <c r="D546">
        <f>IF(OR(Data!D547="",Data!D546=""),"",Data!D547/Data!D546-1)</f>
        <v>2.6687701656671337E-2</v>
      </c>
    </row>
    <row r="547" spans="1:4" x14ac:dyDescent="0.35">
      <c r="A547" t="str">
        <f>Data!A548</f>
        <v>2024-02-06</v>
      </c>
      <c r="B547">
        <f>IF(OR(Data!B548="",Data!B547=""),"",Data!B548/Data!B547-1)</f>
        <v>1.2012623931065614E-2</v>
      </c>
      <c r="C547">
        <f>IF(OR(Data!C548="",Data!C547=""),"",Data!C548/Data!C547-1)</f>
        <v>2.3255531993388256E-2</v>
      </c>
      <c r="D547">
        <f>IF(OR(Data!D548="",Data!D547=""),"",Data!D548/Data!D547-1)</f>
        <v>-1.1002941843945124E-2</v>
      </c>
    </row>
    <row r="548" spans="1:4" x14ac:dyDescent="0.35">
      <c r="A548" t="str">
        <f>Data!A549</f>
        <v>2024-02-07</v>
      </c>
      <c r="B548">
        <f>IF(OR(Data!B549="",Data!B548=""),"",Data!B549/Data!B548-1)</f>
        <v>-3.6541707450539196E-3</v>
      </c>
      <c r="C548">
        <f>IF(OR(Data!C549="",Data!C548=""),"",Data!C549/Data!C548-1)</f>
        <v>9.7974938231411013E-3</v>
      </c>
      <c r="D548">
        <f>IF(OR(Data!D549="",Data!D548=""),"",Data!D549/Data!D548-1)</f>
        <v>-8.1210771655726433E-4</v>
      </c>
    </row>
    <row r="549" spans="1:4" x14ac:dyDescent="0.35">
      <c r="A549" t="str">
        <f>Data!A550</f>
        <v>2024-02-08</v>
      </c>
      <c r="B549">
        <f>IF(OR(Data!B550="",Data!B549=""),"",Data!B550/Data!B549-1)</f>
        <v>7.8534208600085087E-3</v>
      </c>
      <c r="C549">
        <f>IF(OR(Data!C550="",Data!C549=""),"",Data!C550/Data!C549-1)</f>
        <v>-1.4962238200642464E-2</v>
      </c>
      <c r="D549">
        <f>IF(OR(Data!D550="",Data!D549=""),"",Data!D550/Data!D549-1)</f>
        <v>1.3125807500133924E-3</v>
      </c>
    </row>
    <row r="550" spans="1:4" x14ac:dyDescent="0.35">
      <c r="A550" t="str">
        <f>Data!A551</f>
        <v>2024-02-09</v>
      </c>
      <c r="B550">
        <f>IF(OR(Data!B551="",Data!B550=""),"",Data!B551/Data!B550-1)</f>
        <v>-1.1611586066096802E-2</v>
      </c>
      <c r="C550">
        <f>IF(OR(Data!C551="",Data!C550=""),"",Data!C551/Data!C550-1)</f>
        <v>2.8497201388032023E-2</v>
      </c>
      <c r="D550">
        <f>IF(OR(Data!D551="",Data!D550=""),"",Data!D551/Data!D550-1)</f>
        <v>-5.5444033482069388E-2</v>
      </c>
    </row>
    <row r="551" spans="1:4" x14ac:dyDescent="0.35">
      <c r="A551" t="str">
        <f>Data!A552</f>
        <v>2024-02-12</v>
      </c>
      <c r="B551">
        <f>IF(OR(Data!B552="",Data!B551=""),"",Data!B552/Data!B551-1)</f>
        <v>2.1344996884153922E-3</v>
      </c>
      <c r="C551">
        <f>IF(OR(Data!C552="",Data!C551=""),"",Data!C552/Data!C551-1)</f>
        <v>1.8777100386837331E-2</v>
      </c>
      <c r="D551">
        <f>IF(OR(Data!D552="",Data!D551=""),"",Data!D552/Data!D551-1)</f>
        <v>1.3505027946081327E-4</v>
      </c>
    </row>
    <row r="552" spans="1:4" x14ac:dyDescent="0.35">
      <c r="A552" t="str">
        <f>Data!A553</f>
        <v>2024-02-13</v>
      </c>
      <c r="B552">
        <f>IF(OR(Data!B553="",Data!B552=""),"",Data!B553/Data!B552-1)</f>
        <v>-2.7101452223277089E-3</v>
      </c>
      <c r="C552">
        <f>IF(OR(Data!C553="",Data!C552=""),"",Data!C553/Data!C552-1)</f>
        <v>9.05986968469219E-3</v>
      </c>
      <c r="D552">
        <f>IF(OR(Data!D553="",Data!D552=""),"",Data!D553/Data!D552-1)</f>
        <v>-1.994053755185865E-2</v>
      </c>
    </row>
    <row r="553" spans="1:4" x14ac:dyDescent="0.35">
      <c r="A553" t="str">
        <f>Data!A554</f>
        <v>2024-02-14</v>
      </c>
      <c r="B553">
        <f>IF(OR(Data!B554="",Data!B553=""),"",Data!B554/Data!B553-1)</f>
        <v>2.4039960412540973E-2</v>
      </c>
      <c r="C553">
        <f>IF(OR(Data!C554="",Data!C553=""),"",Data!C554/Data!C553-1)</f>
        <v>-3.1049694264456695E-3</v>
      </c>
      <c r="D553">
        <f>IF(OR(Data!D554="",Data!D553=""),"",Data!D554/Data!D553-1)</f>
        <v>-1.4142654223997075E-2</v>
      </c>
    </row>
    <row r="554" spans="1:4" x14ac:dyDescent="0.35">
      <c r="A554" t="str">
        <f>Data!A555</f>
        <v>2024-02-15</v>
      </c>
      <c r="B554">
        <f>IF(OR(Data!B555="",Data!B554=""),"",Data!B555/Data!B554-1)</f>
        <v>5.5037553195222966E-3</v>
      </c>
      <c r="C554">
        <f>IF(OR(Data!C555="",Data!C554=""),"",Data!C555/Data!C554-1)</f>
        <v>-1.400498342446288E-2</v>
      </c>
      <c r="D554">
        <f>IF(OR(Data!D555="",Data!D554=""),"",Data!D555/Data!D554-1)</f>
        <v>4.4834855636740389E-2</v>
      </c>
    </row>
    <row r="555" spans="1:4" x14ac:dyDescent="0.35">
      <c r="A555" t="str">
        <f>Data!A556</f>
        <v>2024-02-16</v>
      </c>
      <c r="B555">
        <f>IF(OR(Data!B556="",Data!B555=""),"",Data!B556/Data!B555-1)</f>
        <v>7.1780669965497701E-3</v>
      </c>
      <c r="C555">
        <f>IF(OR(Data!C556="",Data!C555=""),"",Data!C556/Data!C555-1)</f>
        <v>-5.281811699073824E-3</v>
      </c>
      <c r="D555">
        <f>IF(OR(Data!D556="",Data!D555=""),"",Data!D556/Data!D555-1)</f>
        <v>-3.6463496820232866E-2</v>
      </c>
    </row>
    <row r="556" spans="1:4" x14ac:dyDescent="0.35">
      <c r="A556" t="str">
        <f>Data!A557</f>
        <v>2024-02-19</v>
      </c>
      <c r="B556">
        <f>IF(OR(Data!B557="",Data!B556=""),"",Data!B557/Data!B556-1)</f>
        <v>-7.8077588725810054E-3</v>
      </c>
      <c r="C556">
        <f>IF(OR(Data!C557="",Data!C556=""),"",Data!C557/Data!C556-1)</f>
        <v>1.675757403662459E-2</v>
      </c>
      <c r="D556">
        <f>IF(OR(Data!D557="",Data!D556=""),"",Data!D557/Data!D556-1)</f>
        <v>2.525970316493642E-2</v>
      </c>
    </row>
    <row r="557" spans="1:4" x14ac:dyDescent="0.35">
      <c r="A557" t="str">
        <f>Data!A558</f>
        <v>2024-02-20</v>
      </c>
      <c r="B557">
        <f>IF(OR(Data!B558="",Data!B557=""),"",Data!B558/Data!B557-1)</f>
        <v>-9.3076859908989285E-3</v>
      </c>
      <c r="C557">
        <f>IF(OR(Data!C558="",Data!C557=""),"",Data!C558/Data!C557-1)</f>
        <v>2.8968167557519742E-2</v>
      </c>
      <c r="D557">
        <f>IF(OR(Data!D558="",Data!D557=""),"",Data!D558/Data!D557-1)</f>
        <v>-7.7884786200357325E-3</v>
      </c>
    </row>
    <row r="558" spans="1:4" x14ac:dyDescent="0.35">
      <c r="A558" t="str">
        <f>Data!A559</f>
        <v>2024-02-21</v>
      </c>
      <c r="B558">
        <f>IF(OR(Data!B559="",Data!B558=""),"",Data!B559/Data!B558-1)</f>
        <v>-8.2175257673025026E-3</v>
      </c>
      <c r="C558">
        <f>IF(OR(Data!C559="",Data!C558=""),"",Data!C559/Data!C558-1)</f>
        <v>2.3712714919014832E-2</v>
      </c>
      <c r="D558">
        <f>IF(OR(Data!D559="",Data!D558=""),"",Data!D559/Data!D558-1)</f>
        <v>-7.8119219498846704E-3</v>
      </c>
    </row>
    <row r="559" spans="1:4" x14ac:dyDescent="0.35">
      <c r="A559" t="str">
        <f>Data!A560</f>
        <v>2024-02-22</v>
      </c>
      <c r="B559">
        <f>IF(OR(Data!B560="",Data!B559=""),"",Data!B560/Data!B559-1)</f>
        <v>8.3230783862220381E-3</v>
      </c>
      <c r="C559">
        <f>IF(OR(Data!C560="",Data!C559=""),"",Data!C560/Data!C559-1)</f>
        <v>-7.0203751235980993E-3</v>
      </c>
      <c r="D559">
        <f>IF(OR(Data!D560="",Data!D559=""),"",Data!D560/Data!D559-1)</f>
        <v>2.4557724229849365E-2</v>
      </c>
    </row>
    <row r="560" spans="1:4" x14ac:dyDescent="0.35">
      <c r="A560" t="str">
        <f>Data!A561</f>
        <v>2024-02-23</v>
      </c>
      <c r="B560">
        <f>IF(OR(Data!B561="",Data!B560=""),"",Data!B561/Data!B560-1)</f>
        <v>-7.9876146242706669E-3</v>
      </c>
      <c r="C560">
        <f>IF(OR(Data!C561="",Data!C560=""),"",Data!C561/Data!C560-1)</f>
        <v>-1.6371227337713123E-2</v>
      </c>
      <c r="D560">
        <f>IF(OR(Data!D561="",Data!D560=""),"",Data!D561/Data!D560-1)</f>
        <v>1.0809680612304806E-2</v>
      </c>
    </row>
    <row r="561" spans="1:4" x14ac:dyDescent="0.35">
      <c r="A561" t="str">
        <f>Data!A562</f>
        <v>2024-02-26</v>
      </c>
      <c r="B561">
        <f>IF(OR(Data!B562="",Data!B561=""),"",Data!B562/Data!B561-1)</f>
        <v>6.214699574834226E-3</v>
      </c>
      <c r="C561">
        <f>IF(OR(Data!C562="",Data!C561=""),"",Data!C562/Data!C561-1)</f>
        <v>2.40367404134334E-3</v>
      </c>
      <c r="D561">
        <f>IF(OR(Data!D562="",Data!D561=""),"",Data!D562/Data!D561-1)</f>
        <v>1.7825166635418332E-2</v>
      </c>
    </row>
    <row r="562" spans="1:4" x14ac:dyDescent="0.35">
      <c r="A562" t="str">
        <f>Data!A563</f>
        <v>2024-02-27</v>
      </c>
      <c r="B562">
        <f>IF(OR(Data!B563="",Data!B562=""),"",Data!B563/Data!B562-1)</f>
        <v>4.2798975290919694E-2</v>
      </c>
      <c r="C562">
        <f>IF(OR(Data!C563="",Data!C562=""),"",Data!C563/Data!C562-1)</f>
        <v>-2.589795394023886E-2</v>
      </c>
      <c r="D562">
        <f>IF(OR(Data!D563="",Data!D562=""),"",Data!D563/Data!D562-1)</f>
        <v>3.0038056057600571E-2</v>
      </c>
    </row>
    <row r="563" spans="1:4" x14ac:dyDescent="0.35">
      <c r="A563" t="str">
        <f>Data!A564</f>
        <v>2024-02-28</v>
      </c>
      <c r="B563">
        <f>IF(OR(Data!B564="",Data!B563=""),"",Data!B564/Data!B563-1)</f>
        <v>1.7981736355124012E-2</v>
      </c>
      <c r="C563">
        <f>IF(OR(Data!C564="",Data!C563=""),"",Data!C564/Data!C563-1)</f>
        <v>5.1484061374760248E-3</v>
      </c>
      <c r="D563">
        <f>IF(OR(Data!D564="",Data!D563=""),"",Data!D564/Data!D563-1)</f>
        <v>-9.3454219711044395E-3</v>
      </c>
    </row>
    <row r="564" spans="1:4" x14ac:dyDescent="0.35">
      <c r="A564" t="str">
        <f>Data!A565</f>
        <v>2024-02-29</v>
      </c>
      <c r="B564">
        <f>IF(OR(Data!B565="",Data!B564=""),"",Data!B565/Data!B564-1)</f>
        <v>-6.1014260937115594E-3</v>
      </c>
      <c r="C564">
        <f>IF(OR(Data!C565="",Data!C564=""),"",Data!C565/Data!C564-1)</f>
        <v>-1.9247717022485844E-3</v>
      </c>
      <c r="D564">
        <f>IF(OR(Data!D565="",Data!D564=""),"",Data!D565/Data!D564-1)</f>
        <v>-1.7659434122386686E-2</v>
      </c>
    </row>
    <row r="565" spans="1:4" x14ac:dyDescent="0.35">
      <c r="A565" t="str">
        <f>Data!A566</f>
        <v>2024-03-01</v>
      </c>
      <c r="B565">
        <f>IF(OR(Data!B566="",Data!B565=""),"",Data!B566/Data!B565-1)</f>
        <v>2.4724695656736406E-2</v>
      </c>
      <c r="C565">
        <f>IF(OR(Data!C566="",Data!C565=""),"",Data!C566/Data!C565-1)</f>
        <v>-6.6807512277583525E-3</v>
      </c>
      <c r="D565">
        <f>IF(OR(Data!D566="",Data!D565=""),"",Data!D566/Data!D565-1)</f>
        <v>-3.1497769491976801E-2</v>
      </c>
    </row>
    <row r="566" spans="1:4" x14ac:dyDescent="0.35">
      <c r="A566" t="str">
        <f>Data!A567</f>
        <v>2024-03-04</v>
      </c>
      <c r="B566">
        <f>IF(OR(Data!B567="",Data!B566=""),"",Data!B567/Data!B566-1)</f>
        <v>-7.730784713933514E-3</v>
      </c>
      <c r="C566">
        <f>IF(OR(Data!C567="",Data!C566=""),"",Data!C567/Data!C566-1)</f>
        <v>-2.3355936461114557E-2</v>
      </c>
      <c r="D566">
        <f>IF(OR(Data!D567="",Data!D566=""),"",Data!D567/Data!D566-1)</f>
        <v>-2.3921459844279513E-2</v>
      </c>
    </row>
    <row r="567" spans="1:4" x14ac:dyDescent="0.35">
      <c r="A567" t="str">
        <f>Data!A568</f>
        <v>2024-03-05</v>
      </c>
      <c r="B567">
        <f>IF(OR(Data!B568="",Data!B567=""),"",Data!B568/Data!B567-1)</f>
        <v>-3.955917639616835E-2</v>
      </c>
      <c r="C567">
        <f>IF(OR(Data!C568="",Data!C567=""),"",Data!C568/Data!C567-1)</f>
        <v>8.023562055310185E-3</v>
      </c>
      <c r="D567">
        <f>IF(OR(Data!D568="",Data!D567=""),"",Data!D568/Data!D567-1)</f>
        <v>9.3105530894370458E-2</v>
      </c>
    </row>
    <row r="568" spans="1:4" x14ac:dyDescent="0.35">
      <c r="A568" t="str">
        <f>Data!A569</f>
        <v>2024-03-06</v>
      </c>
      <c r="B568">
        <f>IF(OR(Data!B569="",Data!B568=""),"",Data!B569/Data!B568-1)</f>
        <v>-1.9567901749198424E-2</v>
      </c>
      <c r="C568">
        <f>IF(OR(Data!C569="",Data!C568=""),"",Data!C569/Data!C568-1)</f>
        <v>-7.6733197792431262E-3</v>
      </c>
      <c r="D568">
        <f>IF(OR(Data!D569="",Data!D568=""),"",Data!D569/Data!D568-1)</f>
        <v>3.8617554189351422E-2</v>
      </c>
    </row>
    <row r="569" spans="1:4" x14ac:dyDescent="0.35">
      <c r="A569" t="str">
        <f>Data!A570</f>
        <v>2024-03-07</v>
      </c>
      <c r="B569">
        <f>IF(OR(Data!B570="",Data!B569=""),"",Data!B570/Data!B569-1)</f>
        <v>-3.6338847636855354E-2</v>
      </c>
      <c r="C569">
        <f>IF(OR(Data!C570="",Data!C569=""),"",Data!C570/Data!C569-1)</f>
        <v>-1.7113261722516704E-2</v>
      </c>
      <c r="D569">
        <f>IF(OR(Data!D570="",Data!D569=""),"",Data!D570/Data!D569-1)</f>
        <v>-3.9193571651242598E-2</v>
      </c>
    </row>
    <row r="570" spans="1:4" x14ac:dyDescent="0.35">
      <c r="A570" t="str">
        <f>Data!A571</f>
        <v>2024-03-08</v>
      </c>
      <c r="B570">
        <f>IF(OR(Data!B571="",Data!B570=""),"",Data!B571/Data!B570-1)</f>
        <v>-6.6082448148808703E-3</v>
      </c>
      <c r="C570">
        <f>IF(OR(Data!C571="",Data!C570=""),"",Data!C571/Data!C570-1)</f>
        <v>-4.1893662602821902E-2</v>
      </c>
      <c r="D570">
        <f>IF(OR(Data!D571="",Data!D570=""),"",Data!D571/Data!D570-1)</f>
        <v>-3.8368150222228281E-2</v>
      </c>
    </row>
    <row r="571" spans="1:4" x14ac:dyDescent="0.35">
      <c r="A571" t="str">
        <f>Data!A572</f>
        <v>2024-03-11</v>
      </c>
      <c r="B571">
        <f>IF(OR(Data!B572="",Data!B571=""),"",Data!B572/Data!B571-1)</f>
        <v>7.6885268229909265E-4</v>
      </c>
      <c r="C571">
        <f>IF(OR(Data!C572="",Data!C571=""),"",Data!C572/Data!C571-1)</f>
        <v>-1.2510155345668572E-4</v>
      </c>
      <c r="D571">
        <f>IF(OR(Data!D572="",Data!D571=""),"",Data!D572/Data!D571-1)</f>
        <v>1.5118950019572752E-2</v>
      </c>
    </row>
    <row r="572" spans="1:4" x14ac:dyDescent="0.35">
      <c r="A572" t="str">
        <f>Data!A573</f>
        <v>2024-03-12</v>
      </c>
      <c r="B572">
        <f>IF(OR(Data!B573="",Data!B572=""),"",Data!B573/Data!B572-1)</f>
        <v>3.451064471876597E-2</v>
      </c>
      <c r="C572">
        <f>IF(OR(Data!C573="",Data!C572=""),"",Data!C573/Data!C572-1)</f>
        <v>2.7235700890764214E-2</v>
      </c>
      <c r="D572">
        <f>IF(OR(Data!D573="",Data!D572=""),"",Data!D573/Data!D572-1)</f>
        <v>1.7112922002328279E-2</v>
      </c>
    </row>
    <row r="573" spans="1:4" x14ac:dyDescent="0.35">
      <c r="A573" t="str">
        <f>Data!A574</f>
        <v>2024-03-13</v>
      </c>
      <c r="B573">
        <f>IF(OR(Data!B574="",Data!B573=""),"",Data!B574/Data!B573-1)</f>
        <v>6.9630208680895311E-3</v>
      </c>
      <c r="C573">
        <f>IF(OR(Data!C574="",Data!C573=""),"",Data!C574/Data!C573-1)</f>
        <v>2.5526634814233784E-2</v>
      </c>
      <c r="D573">
        <f>IF(OR(Data!D574="",Data!D573=""),"",Data!D574/Data!D573-1)</f>
        <v>1.7161861258805367E-2</v>
      </c>
    </row>
    <row r="574" spans="1:4" x14ac:dyDescent="0.35">
      <c r="A574" t="str">
        <f>Data!A575</f>
        <v>2024-03-14</v>
      </c>
      <c r="B574">
        <f>IF(OR(Data!B575="",Data!B574=""),"",Data!B575/Data!B574-1)</f>
        <v>-3.9743475651203841E-3</v>
      </c>
      <c r="C574">
        <f>IF(OR(Data!C575="",Data!C574=""),"",Data!C575/Data!C574-1)</f>
        <v>-6.5475461999754403E-3</v>
      </c>
      <c r="D574">
        <f>IF(OR(Data!D575="",Data!D574=""),"",Data!D575/Data!D574-1)</f>
        <v>-7.0733877969594294E-3</v>
      </c>
    </row>
    <row r="575" spans="1:4" x14ac:dyDescent="0.35">
      <c r="A575" t="str">
        <f>Data!A576</f>
        <v>2024-03-15</v>
      </c>
      <c r="B575">
        <f>IF(OR(Data!B576="",Data!B575=""),"",Data!B576/Data!B575-1)</f>
        <v>1.7132792687980736E-2</v>
      </c>
      <c r="C575">
        <f>IF(OR(Data!C576="",Data!C575=""),"",Data!C576/Data!C575-1)</f>
        <v>-8.7073382422936385E-3</v>
      </c>
      <c r="D575">
        <f>IF(OR(Data!D576="",Data!D575=""),"",Data!D576/Data!D575-1)</f>
        <v>-3.2085489187808625E-3</v>
      </c>
    </row>
    <row r="576" spans="1:4" x14ac:dyDescent="0.35">
      <c r="A576" t="str">
        <f>Data!A577</f>
        <v>2024-03-18</v>
      </c>
      <c r="B576">
        <f>IF(OR(Data!B577="",Data!B576=""),"",Data!B577/Data!B576-1)</f>
        <v>-4.2876326627112826E-2</v>
      </c>
      <c r="C576">
        <f>IF(OR(Data!C577="",Data!C576=""),"",Data!C577/Data!C576-1)</f>
        <v>7.3459300683500484E-3</v>
      </c>
      <c r="D576">
        <f>IF(OR(Data!D577="",Data!D576=""),"",Data!D577/Data!D576-1)</f>
        <v>1.0440517152001227E-2</v>
      </c>
    </row>
    <row r="577" spans="1:4" x14ac:dyDescent="0.35">
      <c r="A577" t="str">
        <f>Data!A578</f>
        <v>2024-03-19</v>
      </c>
      <c r="B577">
        <f>IF(OR(Data!B578="",Data!B577=""),"",Data!B578/Data!B577-1)</f>
        <v>5.1258568724072973E-3</v>
      </c>
      <c r="C577">
        <f>IF(OR(Data!C578="",Data!C577=""),"",Data!C578/Data!C577-1)</f>
        <v>-1.4581076871616805E-2</v>
      </c>
      <c r="D577">
        <f>IF(OR(Data!D578="",Data!D577=""),"",Data!D578/Data!D577-1)</f>
        <v>3.1315967467451244E-3</v>
      </c>
    </row>
    <row r="578" spans="1:4" x14ac:dyDescent="0.35">
      <c r="A578" t="str">
        <f>Data!A579</f>
        <v>2024-03-20</v>
      </c>
      <c r="B578">
        <f>IF(OR(Data!B579="",Data!B578=""),"",Data!B579/Data!B578-1)</f>
        <v>1.5943170702566123E-2</v>
      </c>
      <c r="C578">
        <f>IF(OR(Data!C579="",Data!C578=""),"",Data!C579/Data!C578-1)</f>
        <v>4.8261482659213151E-3</v>
      </c>
      <c r="D578">
        <f>IF(OR(Data!D579="",Data!D578=""),"",Data!D579/Data!D578-1)</f>
        <v>-6.3896147927830715E-2</v>
      </c>
    </row>
    <row r="579" spans="1:4" x14ac:dyDescent="0.35">
      <c r="A579" t="str">
        <f>Data!A580</f>
        <v>2024-03-21</v>
      </c>
      <c r="B579">
        <f>IF(OR(Data!B580="",Data!B579=""),"",Data!B580/Data!B579-1)</f>
        <v>-2.8750853346744654E-2</v>
      </c>
      <c r="C579">
        <f>IF(OR(Data!C580="",Data!C579=""),"",Data!C580/Data!C579-1)</f>
        <v>1.1848284868525516E-2</v>
      </c>
      <c r="D579">
        <f>IF(OR(Data!D580="",Data!D579=""),"",Data!D580/Data!D579-1)</f>
        <v>-6.3239691297172218E-3</v>
      </c>
    </row>
    <row r="580" spans="1:4" x14ac:dyDescent="0.35">
      <c r="A580" t="str">
        <f>Data!A581</f>
        <v>2024-03-22</v>
      </c>
      <c r="B580">
        <f>IF(OR(Data!B581="",Data!B580=""),"",Data!B581/Data!B580-1)</f>
        <v>2.3548648765716385E-2</v>
      </c>
      <c r="C580">
        <f>IF(OR(Data!C581="",Data!C580=""),"",Data!C581/Data!C580-1)</f>
        <v>1.8867137794750022E-2</v>
      </c>
      <c r="D580">
        <f>IF(OR(Data!D581="",Data!D580=""),"",Data!D581/Data!D580-1)</f>
        <v>-2.468232016755656E-2</v>
      </c>
    </row>
    <row r="581" spans="1:4" x14ac:dyDescent="0.35">
      <c r="A581" t="str">
        <f>Data!A582</f>
        <v>2024-03-25</v>
      </c>
      <c r="B581">
        <f>IF(OR(Data!B582="",Data!B581=""),"",Data!B582/Data!B581-1)</f>
        <v>7.195116438547311E-3</v>
      </c>
      <c r="C581">
        <f>IF(OR(Data!C582="",Data!C581=""),"",Data!C582/Data!C581-1)</f>
        <v>-1.2140092270194192E-3</v>
      </c>
      <c r="D581">
        <f>IF(OR(Data!D582="",Data!D581=""),"",Data!D582/Data!D581-1)</f>
        <v>5.823153030663164E-3</v>
      </c>
    </row>
    <row r="582" spans="1:4" x14ac:dyDescent="0.35">
      <c r="A582" t="str">
        <f>Data!A583</f>
        <v>2024-03-26</v>
      </c>
      <c r="B582">
        <f>IF(OR(Data!B583="",Data!B582=""),"",Data!B583/Data!B582-1)</f>
        <v>-7.8742262803973562E-3</v>
      </c>
      <c r="C582">
        <f>IF(OR(Data!C583="",Data!C582=""),"",Data!C583/Data!C582-1)</f>
        <v>-2.7637155226488685E-3</v>
      </c>
      <c r="D582">
        <f>IF(OR(Data!D583="",Data!D582=""),"",Data!D583/Data!D582-1)</f>
        <v>9.4292203479321213E-2</v>
      </c>
    </row>
    <row r="583" spans="1:4" x14ac:dyDescent="0.35">
      <c r="A583" t="str">
        <f>Data!A584</f>
        <v>2024-03-27</v>
      </c>
      <c r="B583">
        <f>IF(OR(Data!B584="",Data!B583=""),"",Data!B584/Data!B583-1)</f>
        <v>1.314092445580628E-2</v>
      </c>
      <c r="C583">
        <f>IF(OR(Data!C584="",Data!C583=""),"",Data!C584/Data!C583-1)</f>
        <v>-1.2799615261478436E-2</v>
      </c>
      <c r="D583">
        <f>IF(OR(Data!D584="",Data!D583=""),"",Data!D584/Data!D583-1)</f>
        <v>1.1641573190396048E-2</v>
      </c>
    </row>
    <row r="584" spans="1:4" x14ac:dyDescent="0.35">
      <c r="A584" t="str">
        <f>Data!A585</f>
        <v>2024-03-28</v>
      </c>
      <c r="B584">
        <f>IF(OR(Data!B585="",Data!B584=""),"",Data!B585/Data!B584-1)</f>
        <v>4.6880121145217446E-2</v>
      </c>
      <c r="C584">
        <f>IF(OR(Data!C585="",Data!C584=""),"",Data!C585/Data!C584-1)</f>
        <v>-1.2042649841072839E-2</v>
      </c>
      <c r="D584">
        <f>IF(OR(Data!D585="",Data!D584=""),"",Data!D585/Data!D584-1)</f>
        <v>-8.8165785744837022E-3</v>
      </c>
    </row>
    <row r="585" spans="1:4" x14ac:dyDescent="0.35">
      <c r="A585" t="str">
        <f>Data!A586</f>
        <v>2024-03-29</v>
      </c>
      <c r="B585">
        <f>IF(OR(Data!B586="",Data!B585=""),"",Data!B586/Data!B585-1)</f>
        <v>4.0445820568293378E-3</v>
      </c>
      <c r="C585">
        <f>IF(OR(Data!C586="",Data!C585=""),"",Data!C586/Data!C585-1)</f>
        <v>-3.1047567723763159E-3</v>
      </c>
      <c r="D585">
        <f>IF(OR(Data!D586="",Data!D585=""),"",Data!D586/Data!D585-1)</f>
        <v>2.8605308231711701E-2</v>
      </c>
    </row>
    <row r="586" spans="1:4" x14ac:dyDescent="0.35">
      <c r="A586" t="str">
        <f>Data!A587</f>
        <v>2024-04-01</v>
      </c>
      <c r="B586">
        <f>IF(OR(Data!B587="",Data!B586=""),"",Data!B587/Data!B586-1)</f>
        <v>5.3794879906003956E-3</v>
      </c>
      <c r="C586">
        <f>IF(OR(Data!C587="",Data!C586=""),"",Data!C587/Data!C586-1)</f>
        <v>5.8147680701108317E-3</v>
      </c>
      <c r="D586">
        <f>IF(OR(Data!D587="",Data!D586=""),"",Data!D587/Data!D586-1)</f>
        <v>1.5144342776735265E-2</v>
      </c>
    </row>
    <row r="587" spans="1:4" x14ac:dyDescent="0.35">
      <c r="A587" t="str">
        <f>Data!A588</f>
        <v>2024-04-02</v>
      </c>
      <c r="B587">
        <f>IF(OR(Data!B588="",Data!B587=""),"",Data!B588/Data!B587-1)</f>
        <v>-8.7488324551838748E-3</v>
      </c>
      <c r="C587">
        <f>IF(OR(Data!C588="",Data!C587=""),"",Data!C588/Data!C587-1)</f>
        <v>1.4089689912337944E-2</v>
      </c>
      <c r="D587">
        <f>IF(OR(Data!D588="",Data!D587=""),"",Data!D588/Data!D587-1)</f>
        <v>1.323968027269351E-2</v>
      </c>
    </row>
    <row r="588" spans="1:4" x14ac:dyDescent="0.35">
      <c r="A588" t="str">
        <f>Data!A589</f>
        <v>2024-04-03</v>
      </c>
      <c r="B588">
        <f>IF(OR(Data!B589="",Data!B588=""),"",Data!B589/Data!B588-1)</f>
        <v>-1.6460420171496737E-2</v>
      </c>
      <c r="C588">
        <f>IF(OR(Data!C589="",Data!C588=""),"",Data!C589/Data!C588-1)</f>
        <v>-1.1691398899819405E-2</v>
      </c>
      <c r="D588">
        <f>IF(OR(Data!D589="",Data!D588=""),"",Data!D589/Data!D588-1)</f>
        <v>1.8932550776270318E-2</v>
      </c>
    </row>
    <row r="589" spans="1:4" x14ac:dyDescent="0.35">
      <c r="A589" t="str">
        <f>Data!A590</f>
        <v>2024-04-04</v>
      </c>
      <c r="B589">
        <f>IF(OR(Data!B590="",Data!B589=""),"",Data!B590/Data!B589-1)</f>
        <v>1.7152683968114202E-2</v>
      </c>
      <c r="C589">
        <f>IF(OR(Data!C590="",Data!C589=""),"",Data!C590/Data!C589-1)</f>
        <v>2.2936898769452929E-2</v>
      </c>
      <c r="D589">
        <f>IF(OR(Data!D590="",Data!D589=""),"",Data!D590/Data!D589-1)</f>
        <v>6.422426224978417E-2</v>
      </c>
    </row>
    <row r="590" spans="1:4" x14ac:dyDescent="0.35">
      <c r="A590" t="str">
        <f>Data!A591</f>
        <v>2024-04-05</v>
      </c>
      <c r="B590">
        <f>IF(OR(Data!B591="",Data!B590=""),"",Data!B591/Data!B590-1)</f>
        <v>-1.658240390464305E-2</v>
      </c>
      <c r="C590">
        <f>IF(OR(Data!C591="",Data!C590=""),"",Data!C591/Data!C590-1)</f>
        <v>-3.7722128050604598E-3</v>
      </c>
      <c r="D590">
        <f>IF(OR(Data!D591="",Data!D590=""),"",Data!D591/Data!D590-1)</f>
        <v>-3.2825684011737022E-2</v>
      </c>
    </row>
    <row r="591" spans="1:4" x14ac:dyDescent="0.35">
      <c r="A591" t="str">
        <f>Data!A592</f>
        <v>2024-04-08</v>
      </c>
      <c r="B591">
        <f>IF(OR(Data!B592="",Data!B591=""),"",Data!B592/Data!B591-1)</f>
        <v>1.8325874235460837E-3</v>
      </c>
      <c r="C591">
        <f>IF(OR(Data!C592="",Data!C591=""),"",Data!C592/Data!C591-1)</f>
        <v>-3.2854032570139857E-5</v>
      </c>
      <c r="D591">
        <f>IF(OR(Data!D592="",Data!D591=""),"",Data!D592/Data!D591-1)</f>
        <v>1.4868443770890361E-2</v>
      </c>
    </row>
    <row r="592" spans="1:4" x14ac:dyDescent="0.35">
      <c r="A592" t="str">
        <f>Data!A593</f>
        <v>2024-04-09</v>
      </c>
      <c r="B592">
        <f>IF(OR(Data!B593="",Data!B592=""),"",Data!B593/Data!B592-1)</f>
        <v>-9.111210690536331E-3</v>
      </c>
      <c r="C592">
        <f>IF(OR(Data!C593="",Data!C592=""),"",Data!C593/Data!C592-1)</f>
        <v>-1.0861513494201946E-2</v>
      </c>
      <c r="D592">
        <f>IF(OR(Data!D593="",Data!D592=""),"",Data!D593/Data!D592-1)</f>
        <v>-2.687391532030492E-2</v>
      </c>
    </row>
    <row r="593" spans="1:4" x14ac:dyDescent="0.35">
      <c r="A593" t="str">
        <f>Data!A594</f>
        <v>2024-04-10</v>
      </c>
      <c r="B593">
        <f>IF(OR(Data!B594="",Data!B593=""),"",Data!B594/Data!B593-1)</f>
        <v>1.0029798744719765E-2</v>
      </c>
      <c r="C593">
        <f>IF(OR(Data!C594="",Data!C593=""),"",Data!C594/Data!C593-1)</f>
        <v>-3.5432977458136117E-2</v>
      </c>
      <c r="D593">
        <f>IF(OR(Data!D594="",Data!D593=""),"",Data!D594/Data!D593-1)</f>
        <v>1.7364553693245632E-2</v>
      </c>
    </row>
    <row r="594" spans="1:4" x14ac:dyDescent="0.35">
      <c r="A594" t="str">
        <f>Data!A595</f>
        <v>2024-04-11</v>
      </c>
      <c r="B594">
        <f>IF(OR(Data!B595="",Data!B594=""),"",Data!B595/Data!B594-1)</f>
        <v>7.0975974816400722E-3</v>
      </c>
      <c r="C594">
        <f>IF(OR(Data!C595="",Data!C594=""),"",Data!C595/Data!C594-1)</f>
        <v>1.3640441244559653E-2</v>
      </c>
      <c r="D594">
        <f>IF(OR(Data!D595="",Data!D594=""),"",Data!D595/Data!D594-1)</f>
        <v>-2.6649162605364651E-2</v>
      </c>
    </row>
    <row r="595" spans="1:4" x14ac:dyDescent="0.35">
      <c r="A595" t="str">
        <f>Data!A596</f>
        <v>2024-04-12</v>
      </c>
      <c r="B595">
        <f>IF(OR(Data!B596="",Data!B595=""),"",Data!B596/Data!B595-1)</f>
        <v>2.1376431881337865E-2</v>
      </c>
      <c r="C595">
        <f>IF(OR(Data!C596="",Data!C595=""),"",Data!C596/Data!C595-1)</f>
        <v>1.1404535264045945E-2</v>
      </c>
      <c r="D595">
        <f>IF(OR(Data!D596="",Data!D595=""),"",Data!D596/Data!D595-1)</f>
        <v>-1.1899420205699451E-2</v>
      </c>
    </row>
    <row r="596" spans="1:4" x14ac:dyDescent="0.35">
      <c r="A596" t="str">
        <f>Data!A597</f>
        <v>2024-04-15</v>
      </c>
      <c r="B596">
        <f>IF(OR(Data!B597="",Data!B596=""),"",Data!B597/Data!B596-1)</f>
        <v>-9.7521692342343869E-3</v>
      </c>
      <c r="C596">
        <f>IF(OR(Data!C597="",Data!C596=""),"",Data!C597/Data!C596-1)</f>
        <v>-3.9246182007556252E-3</v>
      </c>
      <c r="D596">
        <f>IF(OR(Data!D597="",Data!D596=""),"",Data!D597/Data!D596-1)</f>
        <v>-8.2685935021243884E-3</v>
      </c>
    </row>
    <row r="597" spans="1:4" x14ac:dyDescent="0.35">
      <c r="A597" t="str">
        <f>Data!A598</f>
        <v>2024-04-16</v>
      </c>
      <c r="B597">
        <f>IF(OR(Data!B598="",Data!B597=""),"",Data!B598/Data!B597-1)</f>
        <v>-4.985030467083762E-3</v>
      </c>
      <c r="C597">
        <f>IF(OR(Data!C598="",Data!C597=""),"",Data!C598/Data!C597-1)</f>
        <v>1.2933351582846697E-3</v>
      </c>
      <c r="D597">
        <f>IF(OR(Data!D598="",Data!D597=""),"",Data!D598/Data!D597-1)</f>
        <v>3.0273873554645947E-2</v>
      </c>
    </row>
    <row r="598" spans="1:4" x14ac:dyDescent="0.35">
      <c r="A598" t="str">
        <f>Data!A599</f>
        <v>2024-04-17</v>
      </c>
      <c r="B598">
        <f>IF(OR(Data!B599="",Data!B598=""),"",Data!B599/Data!B598-1)</f>
        <v>-1.8993209324433935E-2</v>
      </c>
      <c r="C598">
        <f>IF(OR(Data!C599="",Data!C598=""),"",Data!C599/Data!C598-1)</f>
        <v>8.0587531927238665E-3</v>
      </c>
      <c r="D598">
        <f>IF(OR(Data!D599="",Data!D598=""),"",Data!D599/Data!D598-1)</f>
        <v>2.8502102945110908E-2</v>
      </c>
    </row>
    <row r="599" spans="1:4" x14ac:dyDescent="0.35">
      <c r="A599" t="str">
        <f>Data!A600</f>
        <v>2024-04-18</v>
      </c>
      <c r="B599">
        <f>IF(OR(Data!B600="",Data!B599=""),"",Data!B600/Data!B599-1)</f>
        <v>-8.4497196372297356E-3</v>
      </c>
      <c r="C599">
        <f>IF(OR(Data!C600="",Data!C599=""),"",Data!C600/Data!C599-1)</f>
        <v>-2.2884696369914859E-2</v>
      </c>
      <c r="D599">
        <f>IF(OR(Data!D600="",Data!D599=""),"",Data!D600/Data!D599-1)</f>
        <v>-3.6151601687023915E-2</v>
      </c>
    </row>
    <row r="600" spans="1:4" x14ac:dyDescent="0.35">
      <c r="A600" t="str">
        <f>Data!A601</f>
        <v>2024-04-19</v>
      </c>
      <c r="B600">
        <f>IF(OR(Data!B601="",Data!B600=""),"",Data!B601/Data!B600-1)</f>
        <v>7.9780438265513176E-3</v>
      </c>
      <c r="C600">
        <f>IF(OR(Data!C601="",Data!C600=""),"",Data!C601/Data!C600-1)</f>
        <v>-7.6192676274218218E-3</v>
      </c>
      <c r="D600">
        <f>IF(OR(Data!D601="",Data!D600=""),"",Data!D601/Data!D600-1)</f>
        <v>2.200328657427475E-3</v>
      </c>
    </row>
    <row r="601" spans="1:4" x14ac:dyDescent="0.35">
      <c r="A601" t="str">
        <f>Data!A602</f>
        <v>2024-04-22</v>
      </c>
      <c r="B601">
        <f>IF(OR(Data!B602="",Data!B601=""),"",Data!B602/Data!B601-1)</f>
        <v>1.566048925266883E-2</v>
      </c>
      <c r="C601">
        <f>IF(OR(Data!C602="",Data!C601=""),"",Data!C602/Data!C601-1)</f>
        <v>1.2276377592780774E-2</v>
      </c>
      <c r="D601">
        <f>IF(OR(Data!D602="",Data!D601=""),"",Data!D602/Data!D601-1)</f>
        <v>-2.0523767601773102E-2</v>
      </c>
    </row>
    <row r="602" spans="1:4" x14ac:dyDescent="0.35">
      <c r="A602" t="str">
        <f>Data!A603</f>
        <v>2024-04-23</v>
      </c>
      <c r="B602">
        <f>IF(OR(Data!B603="",Data!B602=""),"",Data!B603/Data!B602-1)</f>
        <v>-1.7881216979413472E-2</v>
      </c>
      <c r="C602">
        <f>IF(OR(Data!C603="",Data!C602=""),"",Data!C603/Data!C602-1)</f>
        <v>-1.8356419841717098E-2</v>
      </c>
      <c r="D602">
        <f>IF(OR(Data!D603="",Data!D602=""),"",Data!D603/Data!D602-1)</f>
        <v>-3.6521645165084382E-2</v>
      </c>
    </row>
    <row r="603" spans="1:4" x14ac:dyDescent="0.35">
      <c r="A603" t="str">
        <f>Data!A604</f>
        <v>2024-04-24</v>
      </c>
      <c r="B603">
        <f>IF(OR(Data!B604="",Data!B603=""),"",Data!B604/Data!B603-1)</f>
        <v>1.7951714479163883E-2</v>
      </c>
      <c r="C603">
        <f>IF(OR(Data!C604="",Data!C603=""),"",Data!C604/Data!C603-1)</f>
        <v>4.7020897755916113E-3</v>
      </c>
      <c r="D603">
        <f>IF(OR(Data!D604="",Data!D603=""),"",Data!D604/Data!D603-1)</f>
        <v>-5.9427339922463185E-3</v>
      </c>
    </row>
    <row r="604" spans="1:4" x14ac:dyDescent="0.35">
      <c r="A604" t="str">
        <f>Data!A605</f>
        <v>2024-04-25</v>
      </c>
      <c r="B604">
        <f>IF(OR(Data!B605="",Data!B604=""),"",Data!B605/Data!B604-1)</f>
        <v>2.7894580989043405E-2</v>
      </c>
      <c r="C604">
        <f>IF(OR(Data!C605="",Data!C604=""),"",Data!C605/Data!C604-1)</f>
        <v>-1.9861499917783854E-2</v>
      </c>
      <c r="D604">
        <f>IF(OR(Data!D605="",Data!D604=""),"",Data!D605/Data!D604-1)</f>
        <v>-8.6667801168038849E-3</v>
      </c>
    </row>
    <row r="605" spans="1:4" x14ac:dyDescent="0.35">
      <c r="A605" t="str">
        <f>Data!A606</f>
        <v>2024-04-26</v>
      </c>
      <c r="B605">
        <f>IF(OR(Data!B606="",Data!B605=""),"",Data!B606/Data!B605-1)</f>
        <v>8.7063662311415158E-3</v>
      </c>
      <c r="C605">
        <f>IF(OR(Data!C606="",Data!C605=""),"",Data!C606/Data!C605-1)</f>
        <v>7.3106172009578252E-3</v>
      </c>
      <c r="D605">
        <f>IF(OR(Data!D606="",Data!D605=""),"",Data!D606/Data!D605-1)</f>
        <v>7.6108633106870327E-2</v>
      </c>
    </row>
    <row r="606" spans="1:4" x14ac:dyDescent="0.35">
      <c r="A606" t="str">
        <f>Data!A607</f>
        <v>2024-04-29</v>
      </c>
      <c r="B606">
        <f>IF(OR(Data!B607="",Data!B606=""),"",Data!B607/Data!B606-1)</f>
        <v>3.8664735729312616E-2</v>
      </c>
      <c r="C606">
        <f>IF(OR(Data!C607="",Data!C606=""),"",Data!C607/Data!C606-1)</f>
        <v>-2.4702962299338882E-4</v>
      </c>
      <c r="D606">
        <f>IF(OR(Data!D607="",Data!D606=""),"",Data!D607/Data!D606-1)</f>
        <v>1.3630947963699125E-2</v>
      </c>
    </row>
    <row r="607" spans="1:4" x14ac:dyDescent="0.35">
      <c r="A607" t="str">
        <f>Data!A608</f>
        <v>2024-04-30</v>
      </c>
      <c r="B607">
        <f>IF(OR(Data!B608="",Data!B607=""),"",Data!B608/Data!B607-1)</f>
        <v>-1.4963268669609286E-2</v>
      </c>
      <c r="C607">
        <f>IF(OR(Data!C608="",Data!C607=""),"",Data!C608/Data!C607-1)</f>
        <v>-2.3655184834685872E-2</v>
      </c>
      <c r="D607">
        <f>IF(OR(Data!D608="",Data!D607=""),"",Data!D608/Data!D607-1)</f>
        <v>-3.9958136624371865E-2</v>
      </c>
    </row>
    <row r="608" spans="1:4" x14ac:dyDescent="0.35">
      <c r="A608" t="str">
        <f>Data!A609</f>
        <v>2024-05-01</v>
      </c>
      <c r="B608">
        <f>IF(OR(Data!B609="",Data!B608=""),"",Data!B609/Data!B608-1)</f>
        <v>-2.4195314680809932E-2</v>
      </c>
      <c r="C608">
        <f>IF(OR(Data!C609="",Data!C608=""),"",Data!C609/Data!C608-1)</f>
        <v>1.7917026772624078E-2</v>
      </c>
      <c r="D608">
        <f>IF(OR(Data!D609="",Data!D608=""),"",Data!D609/Data!D608-1)</f>
        <v>-1.6259696386790923E-2</v>
      </c>
    </row>
    <row r="609" spans="1:4" x14ac:dyDescent="0.35">
      <c r="A609" t="str">
        <f>Data!A610</f>
        <v>2024-05-02</v>
      </c>
      <c r="B609">
        <f>IF(OR(Data!B610="",Data!B609=""),"",Data!B610/Data!B609-1)</f>
        <v>-3.4562826499311194E-2</v>
      </c>
      <c r="C609">
        <f>IF(OR(Data!C610="",Data!C609=""),"",Data!C610/Data!C609-1)</f>
        <v>-1.0673924123080325E-2</v>
      </c>
      <c r="D609">
        <f>IF(OR(Data!D610="",Data!D609=""),"",Data!D610/Data!D609-1)</f>
        <v>3.1682899986998692E-2</v>
      </c>
    </row>
    <row r="610" spans="1:4" x14ac:dyDescent="0.35">
      <c r="A610" t="str">
        <f>Data!A611</f>
        <v>2024-05-03</v>
      </c>
      <c r="B610">
        <f>IF(OR(Data!B611="",Data!B610=""),"",Data!B611/Data!B610-1)</f>
        <v>3.0784856104547842E-2</v>
      </c>
      <c r="C610">
        <f>IF(OR(Data!C611="",Data!C610=""),"",Data!C611/Data!C610-1)</f>
        <v>-1.1796099243096658E-2</v>
      </c>
      <c r="D610">
        <f>IF(OR(Data!D611="",Data!D610=""),"",Data!D611/Data!D610-1)</f>
        <v>6.5243642331719975E-2</v>
      </c>
    </row>
    <row r="611" spans="1:4" x14ac:dyDescent="0.35">
      <c r="A611" t="str">
        <f>Data!A612</f>
        <v>2024-05-06</v>
      </c>
      <c r="B611">
        <f>IF(OR(Data!B612="",Data!B611=""),"",Data!B612/Data!B611-1)</f>
        <v>1.3578582775224612E-2</v>
      </c>
      <c r="C611">
        <f>IF(OR(Data!C612="",Data!C611=""),"",Data!C612/Data!C611-1)</f>
        <v>3.3014277964615868E-3</v>
      </c>
      <c r="D611">
        <f>IF(OR(Data!D612="",Data!D611=""),"",Data!D612/Data!D611-1)</f>
        <v>-4.594085570609574E-2</v>
      </c>
    </row>
    <row r="612" spans="1:4" x14ac:dyDescent="0.35">
      <c r="A612" t="str">
        <f>Data!A613</f>
        <v>2024-05-07</v>
      </c>
      <c r="B612">
        <f>IF(OR(Data!B613="",Data!B612=""),"",Data!B613/Data!B612-1)</f>
        <v>-7.1119659044505124E-4</v>
      </c>
      <c r="C612">
        <f>IF(OR(Data!C613="",Data!C612=""),"",Data!C613/Data!C612-1)</f>
        <v>1.7671336587530062E-2</v>
      </c>
      <c r="D612">
        <f>IF(OR(Data!D613="",Data!D612=""),"",Data!D613/Data!D612-1)</f>
        <v>-5.4316880243922006E-2</v>
      </c>
    </row>
    <row r="613" spans="1:4" x14ac:dyDescent="0.35">
      <c r="A613" t="str">
        <f>Data!A614</f>
        <v>2024-05-08</v>
      </c>
      <c r="B613">
        <f>IF(OR(Data!B614="",Data!B613=""),"",Data!B614/Data!B613-1)</f>
        <v>6.0175995794404802E-3</v>
      </c>
      <c r="C613">
        <f>IF(OR(Data!C614="",Data!C613=""),"",Data!C614/Data!C613-1)</f>
        <v>-1.4838573063772675E-2</v>
      </c>
      <c r="D613">
        <f>IF(OR(Data!D614="",Data!D613=""),"",Data!D614/Data!D613-1)</f>
        <v>5.8316030136802421E-2</v>
      </c>
    </row>
    <row r="614" spans="1:4" x14ac:dyDescent="0.35">
      <c r="A614" t="str">
        <f>Data!A615</f>
        <v>2024-05-09</v>
      </c>
      <c r="B614">
        <f>IF(OR(Data!B615="",Data!B614=""),"",Data!B615/Data!B614-1)</f>
        <v>-2.1867448126440925E-2</v>
      </c>
      <c r="C614">
        <f>IF(OR(Data!C615="",Data!C614=""),"",Data!C615/Data!C614-1)</f>
        <v>1.2132868741057123E-3</v>
      </c>
      <c r="D614">
        <f>IF(OR(Data!D615="",Data!D614=""),"",Data!D615/Data!D614-1)</f>
        <v>1.2313640543720972E-2</v>
      </c>
    </row>
    <row r="615" spans="1:4" x14ac:dyDescent="0.35">
      <c r="A615" t="str">
        <f>Data!A616</f>
        <v>2024-05-10</v>
      </c>
      <c r="B615">
        <f>IF(OR(Data!B616="",Data!B615=""),"",Data!B616/Data!B615-1)</f>
        <v>5.0551098647545478E-2</v>
      </c>
      <c r="C615">
        <f>IF(OR(Data!C616="",Data!C615=""),"",Data!C616/Data!C615-1)</f>
        <v>6.7424562465452365E-3</v>
      </c>
      <c r="D615">
        <f>IF(OR(Data!D616="",Data!D615=""),"",Data!D616/Data!D615-1)</f>
        <v>-2.5176393051899226E-2</v>
      </c>
    </row>
    <row r="616" spans="1:4" x14ac:dyDescent="0.35">
      <c r="A616" t="str">
        <f>Data!A617</f>
        <v>2024-05-13</v>
      </c>
      <c r="B616">
        <f>IF(OR(Data!B617="",Data!B616=""),"",Data!B617/Data!B616-1)</f>
        <v>2.989517681573739E-3</v>
      </c>
      <c r="C616">
        <f>IF(OR(Data!C617="",Data!C616=""),"",Data!C617/Data!C616-1)</f>
        <v>1.0741448013759536E-2</v>
      </c>
      <c r="D616">
        <f>IF(OR(Data!D617="",Data!D616=""),"",Data!D617/Data!D616-1)</f>
        <v>1.6727235860892531E-2</v>
      </c>
    </row>
    <row r="617" spans="1:4" x14ac:dyDescent="0.35">
      <c r="A617" t="str">
        <f>Data!A618</f>
        <v>2024-05-14</v>
      </c>
      <c r="B617">
        <f>IF(OR(Data!B618="",Data!B617=""),"",Data!B618/Data!B617-1)</f>
        <v>2.5906604836685165E-3</v>
      </c>
      <c r="C617">
        <f>IF(OR(Data!C618="",Data!C617=""),"",Data!C618/Data!C617-1)</f>
        <v>2.9383220876664229E-3</v>
      </c>
      <c r="D617">
        <f>IF(OR(Data!D618="",Data!D617=""),"",Data!D618/Data!D617-1)</f>
        <v>-7.5518733299979157E-2</v>
      </c>
    </row>
    <row r="618" spans="1:4" x14ac:dyDescent="0.35">
      <c r="A618" t="str">
        <f>Data!A619</f>
        <v>2024-05-15</v>
      </c>
      <c r="B618">
        <f>IF(OR(Data!B619="",Data!B618=""),"",Data!B619/Data!B618-1)</f>
        <v>1.5027494543933262E-2</v>
      </c>
      <c r="C618">
        <f>IF(OR(Data!C619="",Data!C618=""),"",Data!C619/Data!C618-1)</f>
        <v>-5.204228225811014E-3</v>
      </c>
      <c r="D618">
        <f>IF(OR(Data!D619="",Data!D618=""),"",Data!D619/Data!D618-1)</f>
        <v>6.5154995519400849E-4</v>
      </c>
    </row>
    <row r="619" spans="1:4" x14ac:dyDescent="0.35">
      <c r="A619" t="str">
        <f>Data!A620</f>
        <v>2024-05-16</v>
      </c>
      <c r="B619">
        <f>IF(OR(Data!B620="",Data!B619=""),"",Data!B620/Data!B619-1)</f>
        <v>1.0070288428354779E-2</v>
      </c>
      <c r="C619">
        <f>IF(OR(Data!C620="",Data!C619=""),"",Data!C620/Data!C619-1)</f>
        <v>-1.2053134938919463E-2</v>
      </c>
      <c r="D619">
        <f>IF(OR(Data!D620="",Data!D619=""),"",Data!D620/Data!D619-1)</f>
        <v>1.0438692033204466E-2</v>
      </c>
    </row>
    <row r="620" spans="1:4" x14ac:dyDescent="0.35">
      <c r="A620" t="str">
        <f>Data!A621</f>
        <v>2024-05-17</v>
      </c>
      <c r="B620">
        <f>IF(OR(Data!B621="",Data!B620=""),"",Data!B621/Data!B620-1)</f>
        <v>4.8898994244044314E-3</v>
      </c>
      <c r="C620">
        <f>IF(OR(Data!C621="",Data!C620=""),"",Data!C621/Data!C620-1)</f>
        <v>1.5808901779750251E-3</v>
      </c>
      <c r="D620">
        <f>IF(OR(Data!D621="",Data!D620=""),"",Data!D621/Data!D620-1)</f>
        <v>2.8681648892458611E-2</v>
      </c>
    </row>
    <row r="621" spans="1:4" x14ac:dyDescent="0.35">
      <c r="A621" t="str">
        <f>Data!A622</f>
        <v>2024-05-20</v>
      </c>
      <c r="B621">
        <f>IF(OR(Data!B622="",Data!B621=""),"",Data!B622/Data!B621-1)</f>
        <v>-1.5291375139325658E-2</v>
      </c>
      <c r="C621">
        <f>IF(OR(Data!C622="",Data!C621=""),"",Data!C622/Data!C621-1)</f>
        <v>-1.5670672878626446E-2</v>
      </c>
      <c r="D621">
        <f>IF(OR(Data!D622="",Data!D621=""),"",Data!D622/Data!D621-1)</f>
        <v>-2.942511756903432E-2</v>
      </c>
    </row>
    <row r="622" spans="1:4" x14ac:dyDescent="0.35">
      <c r="A622" t="str">
        <f>Data!A623</f>
        <v>2024-05-21</v>
      </c>
      <c r="B622">
        <f>IF(OR(Data!B623="",Data!B622=""),"",Data!B623/Data!B622-1)</f>
        <v>9.8775429767099521E-3</v>
      </c>
      <c r="C622">
        <f>IF(OR(Data!C623="",Data!C622=""),"",Data!C623/Data!C622-1)</f>
        <v>-4.259857598881156E-2</v>
      </c>
      <c r="D622">
        <f>IF(OR(Data!D623="",Data!D622=""),"",Data!D623/Data!D622-1)</f>
        <v>3.125241684425184E-3</v>
      </c>
    </row>
    <row r="623" spans="1:4" x14ac:dyDescent="0.35">
      <c r="A623" t="str">
        <f>Data!A624</f>
        <v>2024-05-22</v>
      </c>
      <c r="B623">
        <f>IF(OR(Data!B624="",Data!B623=""),"",Data!B624/Data!B623-1)</f>
        <v>3.8773616001075872E-2</v>
      </c>
      <c r="C623">
        <f>IF(OR(Data!C624="",Data!C623=""),"",Data!C624/Data!C623-1)</f>
        <v>6.8593248506223503E-3</v>
      </c>
      <c r="D623">
        <f>IF(OR(Data!D624="",Data!D623=""),"",Data!D624/Data!D623-1)</f>
        <v>-2.6845608491067097E-2</v>
      </c>
    </row>
    <row r="624" spans="1:4" x14ac:dyDescent="0.35">
      <c r="A624" t="str">
        <f>Data!A625</f>
        <v>2024-05-23</v>
      </c>
      <c r="B624">
        <f>IF(OR(Data!B625="",Data!B624=""),"",Data!B625/Data!B624-1)</f>
        <v>2.7684747183494895E-2</v>
      </c>
      <c r="C624">
        <f>IF(OR(Data!C625="",Data!C624=""),"",Data!C625/Data!C624-1)</f>
        <v>1.3942699612058851E-2</v>
      </c>
      <c r="D624">
        <f>IF(OR(Data!D625="",Data!D624=""),"",Data!D625/Data!D624-1)</f>
        <v>8.245117407175595E-3</v>
      </c>
    </row>
    <row r="625" spans="1:4" x14ac:dyDescent="0.35">
      <c r="A625" t="str">
        <f>Data!A626</f>
        <v>2024-05-24</v>
      </c>
      <c r="B625">
        <f>IF(OR(Data!B626="",Data!B625=""),"",Data!B626/Data!B625-1)</f>
        <v>3.2790033034276078E-2</v>
      </c>
      <c r="C625">
        <f>IF(OR(Data!C626="",Data!C625=""),"",Data!C626/Data!C625-1)</f>
        <v>-3.4545500861765777E-2</v>
      </c>
      <c r="D625">
        <f>IF(OR(Data!D626="",Data!D625=""),"",Data!D626/Data!D625-1)</f>
        <v>-2.5967341619160145E-2</v>
      </c>
    </row>
    <row r="626" spans="1:4" x14ac:dyDescent="0.35">
      <c r="A626" t="str">
        <f>Data!A627</f>
        <v>2024-05-27</v>
      </c>
      <c r="B626">
        <f>IF(OR(Data!B627="",Data!B626=""),"",Data!B627/Data!B626-1)</f>
        <v>-9.7763545486522219E-3</v>
      </c>
      <c r="C626">
        <f>IF(OR(Data!C627="",Data!C626=""),"",Data!C627/Data!C626-1)</f>
        <v>-1.4748834454018755E-2</v>
      </c>
      <c r="D626">
        <f>IF(OR(Data!D627="",Data!D626=""),"",Data!D627/Data!D626-1)</f>
        <v>-1.1624847970794883E-2</v>
      </c>
    </row>
    <row r="627" spans="1:4" x14ac:dyDescent="0.35">
      <c r="A627" t="str">
        <f>Data!A628</f>
        <v>2024-05-28</v>
      </c>
      <c r="B627">
        <f>IF(OR(Data!B628="",Data!B627=""),"",Data!B628/Data!B627-1)</f>
        <v>-1.9205769015573804E-2</v>
      </c>
      <c r="C627">
        <f>IF(OR(Data!C628="",Data!C627=""),"",Data!C628/Data!C627-1)</f>
        <v>9.6207136990171804E-3</v>
      </c>
      <c r="D627">
        <f>IF(OR(Data!D628="",Data!D627=""),"",Data!D628/Data!D627-1)</f>
        <v>-2.8898641851353934E-2</v>
      </c>
    </row>
    <row r="628" spans="1:4" x14ac:dyDescent="0.35">
      <c r="A628" t="str">
        <f>Data!A629</f>
        <v>2024-05-29</v>
      </c>
      <c r="B628">
        <f>IF(OR(Data!B629="",Data!B628=""),"",Data!B629/Data!B628-1)</f>
        <v>-2.1133975622419365E-3</v>
      </c>
      <c r="C628">
        <f>IF(OR(Data!C629="",Data!C628=""),"",Data!C629/Data!C628-1)</f>
        <v>3.1640428764637685E-2</v>
      </c>
      <c r="D628">
        <f>IF(OR(Data!D629="",Data!D628=""),"",Data!D629/Data!D628-1)</f>
        <v>2.0287010858264454E-2</v>
      </c>
    </row>
    <row r="629" spans="1:4" x14ac:dyDescent="0.35">
      <c r="A629" t="str">
        <f>Data!A630</f>
        <v>2024-05-30</v>
      </c>
      <c r="B629">
        <f>IF(OR(Data!B630="",Data!B629=""),"",Data!B630/Data!B629-1)</f>
        <v>1.5162746298709173E-3</v>
      </c>
      <c r="C629">
        <f>IF(OR(Data!C630="",Data!C629=""),"",Data!C630/Data!C629-1)</f>
        <v>5.9952226353532367E-4</v>
      </c>
      <c r="D629">
        <f>IF(OR(Data!D630="",Data!D629=""),"",Data!D630/Data!D629-1)</f>
        <v>2.6652555368044561E-2</v>
      </c>
    </row>
    <row r="630" spans="1:4" x14ac:dyDescent="0.35">
      <c r="A630" t="str">
        <f>Data!A631</f>
        <v>2024-05-31</v>
      </c>
      <c r="B630">
        <f>IF(OR(Data!B631="",Data!B630=""),"",Data!B631/Data!B630-1)</f>
        <v>2.2533463073775906E-2</v>
      </c>
      <c r="C630">
        <f>IF(OR(Data!C631="",Data!C630=""),"",Data!C631/Data!C630-1)</f>
        <v>-1.0576230650198415E-2</v>
      </c>
      <c r="D630">
        <f>IF(OR(Data!D631="",Data!D630=""),"",Data!D631/Data!D630-1)</f>
        <v>-6.4675215696838873E-3</v>
      </c>
    </row>
    <row r="631" spans="1:4" x14ac:dyDescent="0.35">
      <c r="A631" t="str">
        <f>Data!A632</f>
        <v>2024-06-03</v>
      </c>
      <c r="B631">
        <f>IF(OR(Data!B632="",Data!B631=""),"",Data!B632/Data!B631-1)</f>
        <v>-3.2895742480780421E-2</v>
      </c>
      <c r="C631">
        <f>IF(OR(Data!C632="",Data!C631=""),"",Data!C632/Data!C631-1)</f>
        <v>-2.4529924924810986E-3</v>
      </c>
      <c r="D631">
        <f>IF(OR(Data!D632="",Data!D631=""),"",Data!D632/Data!D631-1)</f>
        <v>1.6985996040386198E-3</v>
      </c>
    </row>
    <row r="632" spans="1:4" x14ac:dyDescent="0.35">
      <c r="A632" t="str">
        <f>Data!A633</f>
        <v>2024-06-04</v>
      </c>
      <c r="B632">
        <f>IF(OR(Data!B633="",Data!B632=""),"",Data!B633/Data!B632-1)</f>
        <v>3.1475705017053102E-2</v>
      </c>
      <c r="C632">
        <f>IF(OR(Data!C633="",Data!C632=""),"",Data!C633/Data!C632-1)</f>
        <v>2.1130782954023264E-2</v>
      </c>
      <c r="D632">
        <f>IF(OR(Data!D633="",Data!D632=""),"",Data!D633/Data!D632-1)</f>
        <v>-4.2000216943269386E-2</v>
      </c>
    </row>
    <row r="633" spans="1:4" x14ac:dyDescent="0.35">
      <c r="A633" t="str">
        <f>Data!A634</f>
        <v>2024-06-05</v>
      </c>
      <c r="B633">
        <f>IF(OR(Data!B634="",Data!B633=""),"",Data!B634/Data!B633-1)</f>
        <v>-2.7559466177122793E-3</v>
      </c>
      <c r="C633">
        <f>IF(OR(Data!C634="",Data!C633=""),"",Data!C634/Data!C633-1)</f>
        <v>-9.3580048610508726E-3</v>
      </c>
      <c r="D633">
        <f>IF(OR(Data!D634="",Data!D633=""),"",Data!D634/Data!D633-1)</f>
        <v>-8.4048382828266766E-3</v>
      </c>
    </row>
    <row r="634" spans="1:4" x14ac:dyDescent="0.35">
      <c r="A634" t="str">
        <f>Data!A635</f>
        <v>2024-06-06</v>
      </c>
      <c r="B634">
        <f>IF(OR(Data!B635="",Data!B634=""),"",Data!B635/Data!B634-1)</f>
        <v>-8.1046432977762706E-3</v>
      </c>
      <c r="C634">
        <f>IF(OR(Data!C635="",Data!C634=""),"",Data!C635/Data!C634-1)</f>
        <v>-1.1632162406468138E-2</v>
      </c>
      <c r="D634">
        <f>IF(OR(Data!D635="",Data!D634=""),"",Data!D635/Data!D634-1)</f>
        <v>-9.5576159951671347E-4</v>
      </c>
    </row>
    <row r="635" spans="1:4" x14ac:dyDescent="0.35">
      <c r="A635" t="str">
        <f>Data!A636</f>
        <v>2024-06-07</v>
      </c>
      <c r="B635">
        <f>IF(OR(Data!B636="",Data!B635=""),"",Data!B636/Data!B635-1)</f>
        <v>-1.9646526546958865E-2</v>
      </c>
      <c r="C635">
        <f>IF(OR(Data!C636="",Data!C635=""),"",Data!C636/Data!C635-1)</f>
        <v>-6.9294596190114799E-3</v>
      </c>
      <c r="D635">
        <f>IF(OR(Data!D636="",Data!D635=""),"",Data!D636/Data!D635-1)</f>
        <v>8.239252236963579E-2</v>
      </c>
    </row>
    <row r="636" spans="1:4" x14ac:dyDescent="0.35">
      <c r="A636" t="str">
        <f>Data!A637</f>
        <v>2024-06-10</v>
      </c>
      <c r="B636">
        <f>IF(OR(Data!B637="",Data!B636=""),"",Data!B637/Data!B636-1)</f>
        <v>-3.2168036920159682E-2</v>
      </c>
      <c r="C636">
        <f>IF(OR(Data!C637="",Data!C636=""),"",Data!C637/Data!C636-1)</f>
        <v>-1.3914692961558561E-2</v>
      </c>
      <c r="D636">
        <f>IF(OR(Data!D637="",Data!D636=""),"",Data!D637/Data!D636-1)</f>
        <v>-3.227671283569622E-2</v>
      </c>
    </row>
    <row r="637" spans="1:4" x14ac:dyDescent="0.35">
      <c r="A637" t="str">
        <f>Data!A638</f>
        <v>2024-06-11</v>
      </c>
      <c r="B637">
        <f>IF(OR(Data!B638="",Data!B637=""),"",Data!B638/Data!B637-1)</f>
        <v>1.7006369885543826E-2</v>
      </c>
      <c r="C637">
        <f>IF(OR(Data!C638="",Data!C637=""),"",Data!C638/Data!C637-1)</f>
        <v>2.1299199269444458E-3</v>
      </c>
      <c r="D637">
        <f>IF(OR(Data!D638="",Data!D637=""),"",Data!D638/Data!D637-1)</f>
        <v>4.5479330153390229E-2</v>
      </c>
    </row>
    <row r="638" spans="1:4" x14ac:dyDescent="0.35">
      <c r="A638" t="str">
        <f>Data!A639</f>
        <v>2024-06-12</v>
      </c>
      <c r="B638">
        <f>IF(OR(Data!B639="",Data!B638=""),"",Data!B639/Data!B638-1)</f>
        <v>1.8674422887146047E-3</v>
      </c>
      <c r="C638">
        <f>IF(OR(Data!C639="",Data!C638=""),"",Data!C639/Data!C638-1)</f>
        <v>2.4963983519790789E-2</v>
      </c>
      <c r="D638">
        <f>IF(OR(Data!D639="",Data!D638=""),"",Data!D639/Data!D638-1)</f>
        <v>3.0924375821922201E-2</v>
      </c>
    </row>
    <row r="639" spans="1:4" x14ac:dyDescent="0.35">
      <c r="A639" t="str">
        <f>Data!A640</f>
        <v>2024-06-13</v>
      </c>
      <c r="B639">
        <f>IF(OR(Data!B640="",Data!B639=""),"",Data!B640/Data!B639-1)</f>
        <v>-2.5079039663183034E-2</v>
      </c>
      <c r="C639">
        <f>IF(OR(Data!C640="",Data!C639=""),"",Data!C640/Data!C639-1)</f>
        <v>5.1471286990547593E-3</v>
      </c>
      <c r="D639">
        <f>IF(OR(Data!D640="",Data!D639=""),"",Data!D640/Data!D639-1)</f>
        <v>9.00917781090671E-3</v>
      </c>
    </row>
    <row r="640" spans="1:4" x14ac:dyDescent="0.35">
      <c r="A640" t="str">
        <f>Data!A641</f>
        <v>2024-06-14</v>
      </c>
      <c r="B640">
        <f>IF(OR(Data!B641="",Data!B640=""),"",Data!B641/Data!B640-1)</f>
        <v>-2.5179528621047664E-2</v>
      </c>
      <c r="C640">
        <f>IF(OR(Data!C641="",Data!C640=""),"",Data!C641/Data!C640-1)</f>
        <v>-3.4918491063855583E-3</v>
      </c>
      <c r="D640">
        <f>IF(OR(Data!D641="",Data!D640=""),"",Data!D641/Data!D640-1)</f>
        <v>5.4755194278132358E-2</v>
      </c>
    </row>
    <row r="641" spans="1:4" x14ac:dyDescent="0.35">
      <c r="A641" t="str">
        <f>Data!A642</f>
        <v>2024-06-17</v>
      </c>
      <c r="B641">
        <f>IF(OR(Data!B642="",Data!B641=""),"",Data!B642/Data!B641-1)</f>
        <v>-6.2954835670274711E-3</v>
      </c>
      <c r="C641">
        <f>IF(OR(Data!C642="",Data!C641=""),"",Data!C642/Data!C641-1)</f>
        <v>-4.0812171029095401E-3</v>
      </c>
      <c r="D641">
        <f>IF(OR(Data!D642="",Data!D641=""),"",Data!D642/Data!D641-1)</f>
        <v>1.1782194665186374E-2</v>
      </c>
    </row>
    <row r="642" spans="1:4" x14ac:dyDescent="0.35">
      <c r="A642" t="str">
        <f>Data!A643</f>
        <v>2024-06-18</v>
      </c>
      <c r="B642">
        <f>IF(OR(Data!B643="",Data!B642=""),"",Data!B643/Data!B642-1)</f>
        <v>3.435753864682467E-2</v>
      </c>
      <c r="C642">
        <f>IF(OR(Data!C643="",Data!C642=""),"",Data!C643/Data!C642-1)</f>
        <v>-2.2894416601917711E-2</v>
      </c>
      <c r="D642">
        <f>IF(OR(Data!D643="",Data!D642=""),"",Data!D643/Data!D642-1)</f>
        <v>1.2299762256050117E-2</v>
      </c>
    </row>
    <row r="643" spans="1:4" x14ac:dyDescent="0.35">
      <c r="A643" t="str">
        <f>Data!A644</f>
        <v>2024-06-19</v>
      </c>
      <c r="B643">
        <f>IF(OR(Data!B644="",Data!B643=""),"",Data!B644/Data!B643-1)</f>
        <v>-4.7804529730478551E-3</v>
      </c>
      <c r="C643">
        <f>IF(OR(Data!C644="",Data!C643=""),"",Data!C644/Data!C643-1)</f>
        <v>1.3626159064061616E-2</v>
      </c>
      <c r="D643">
        <f>IF(OR(Data!D644="",Data!D643=""),"",Data!D644/Data!D643-1)</f>
        <v>-1.0430003365768936E-3</v>
      </c>
    </row>
    <row r="644" spans="1:4" x14ac:dyDescent="0.35">
      <c r="A644" t="str">
        <f>Data!A645</f>
        <v>2024-06-20</v>
      </c>
      <c r="B644">
        <f>IF(OR(Data!B645="",Data!B644=""),"",Data!B645/Data!B644-1)</f>
        <v>-2.9226904620893723E-2</v>
      </c>
      <c r="C644">
        <f>IF(OR(Data!C645="",Data!C644=""),"",Data!C645/Data!C644-1)</f>
        <v>-8.7941163782445653E-4</v>
      </c>
      <c r="D644">
        <f>IF(OR(Data!D645="",Data!D644=""),"",Data!D645/Data!D644-1)</f>
        <v>3.7959668511353906E-2</v>
      </c>
    </row>
    <row r="645" spans="1:4" x14ac:dyDescent="0.35">
      <c r="A645" t="str">
        <f>Data!A646</f>
        <v>2024-06-21</v>
      </c>
      <c r="B645">
        <f>IF(OR(Data!B646="",Data!B645=""),"",Data!B646/Data!B645-1)</f>
        <v>-4.505246827267495E-3</v>
      </c>
      <c r="C645">
        <f>IF(OR(Data!C646="",Data!C645=""),"",Data!C646/Data!C645-1)</f>
        <v>-2.4169924451794556E-3</v>
      </c>
      <c r="D645">
        <f>IF(OR(Data!D646="",Data!D645=""),"",Data!D646/Data!D645-1)</f>
        <v>3.4009605568470214E-2</v>
      </c>
    </row>
    <row r="646" spans="1:4" x14ac:dyDescent="0.35">
      <c r="A646" t="str">
        <f>Data!A647</f>
        <v>2024-06-24</v>
      </c>
      <c r="B646">
        <f>IF(OR(Data!B647="",Data!B646=""),"",Data!B647/Data!B646-1)</f>
        <v>-5.0414898731268032E-3</v>
      </c>
      <c r="C646">
        <f>IF(OR(Data!C647="",Data!C646=""),"",Data!C647/Data!C646-1)</f>
        <v>4.9363974228099794E-2</v>
      </c>
      <c r="D646">
        <f>IF(OR(Data!D647="",Data!D646=""),"",Data!D647/Data!D646-1)</f>
        <v>-1.8055357661424853E-2</v>
      </c>
    </row>
    <row r="647" spans="1:4" x14ac:dyDescent="0.35">
      <c r="A647" t="str">
        <f>Data!A648</f>
        <v>2024-06-25</v>
      </c>
      <c r="B647">
        <f>IF(OR(Data!B648="",Data!B647=""),"",Data!B648/Data!B647-1)</f>
        <v>-5.2129961472045183E-2</v>
      </c>
      <c r="C647">
        <f>IF(OR(Data!C648="",Data!C647=""),"",Data!C648/Data!C647-1)</f>
        <v>4.780287348859158E-3</v>
      </c>
      <c r="D647">
        <f>IF(OR(Data!D648="",Data!D647=""),"",Data!D648/Data!D647-1)</f>
        <v>-3.8275504735620247E-2</v>
      </c>
    </row>
    <row r="648" spans="1:4" x14ac:dyDescent="0.35">
      <c r="A648" t="str">
        <f>Data!A649</f>
        <v>2024-06-26</v>
      </c>
      <c r="B648">
        <f>IF(OR(Data!B649="",Data!B648=""),"",Data!B649/Data!B648-1)</f>
        <v>-6.8527882780966554E-4</v>
      </c>
      <c r="C648">
        <f>IF(OR(Data!C649="",Data!C648=""),"",Data!C649/Data!C648-1)</f>
        <v>-1.0929338933569177E-2</v>
      </c>
      <c r="D648">
        <f>IF(OR(Data!D649="",Data!D648=""),"",Data!D649/Data!D648-1)</f>
        <v>-5.5241841190248886E-3</v>
      </c>
    </row>
    <row r="649" spans="1:4" x14ac:dyDescent="0.35">
      <c r="A649" t="str">
        <f>Data!A650</f>
        <v>2024-06-27</v>
      </c>
      <c r="B649">
        <f>IF(OR(Data!B650="",Data!B649=""),"",Data!B650/Data!B649-1)</f>
        <v>-4.2103021996300338E-3</v>
      </c>
      <c r="C649">
        <f>IF(OR(Data!C650="",Data!C649=""),"",Data!C650/Data!C649-1)</f>
        <v>-6.0893502315595427E-3</v>
      </c>
      <c r="D649">
        <f>IF(OR(Data!D650="",Data!D649=""),"",Data!D650/Data!D649-1)</f>
        <v>-2.3178242663077553E-2</v>
      </c>
    </row>
    <row r="650" spans="1:4" x14ac:dyDescent="0.35">
      <c r="A650" t="str">
        <f>Data!A651</f>
        <v>2024-06-28</v>
      </c>
      <c r="B650">
        <f>IF(OR(Data!B651="",Data!B650=""),"",Data!B651/Data!B650-1)</f>
        <v>1.4427758312107963E-2</v>
      </c>
      <c r="C650">
        <f>IF(OR(Data!C651="",Data!C650=""),"",Data!C651/Data!C650-1)</f>
        <v>1.7668541854255038E-2</v>
      </c>
      <c r="D650">
        <f>IF(OR(Data!D651="",Data!D650=""),"",Data!D651/Data!D650-1)</f>
        <v>-1.3550043832574188E-3</v>
      </c>
    </row>
    <row r="651" spans="1:4" x14ac:dyDescent="0.35">
      <c r="A651" t="str">
        <f>Data!A652</f>
        <v>2024-07-01</v>
      </c>
      <c r="B651">
        <f>IF(OR(Data!B652="",Data!B651=""),"",Data!B652/Data!B651-1)</f>
        <v>3.8086071289312962E-2</v>
      </c>
      <c r="C651">
        <f>IF(OR(Data!C652="",Data!C651=""),"",Data!C652/Data!C651-1)</f>
        <v>1.9884244638821436E-3</v>
      </c>
      <c r="D651">
        <f>IF(OR(Data!D652="",Data!D651=""),"",Data!D652/Data!D651-1)</f>
        <v>3.8391851829479906E-2</v>
      </c>
    </row>
    <row r="652" spans="1:4" x14ac:dyDescent="0.35">
      <c r="A652" t="str">
        <f>Data!A653</f>
        <v>2024-07-02</v>
      </c>
      <c r="B652">
        <f>IF(OR(Data!B653="",Data!B652=""),"",Data!B653/Data!B652-1)</f>
        <v>2.3196103047919969E-2</v>
      </c>
      <c r="C652">
        <f>IF(OR(Data!C653="",Data!C652=""),"",Data!C653/Data!C652-1)</f>
        <v>-2.1061498812103507E-2</v>
      </c>
      <c r="D652">
        <f>IF(OR(Data!D653="",Data!D652=""),"",Data!D653/Data!D652-1)</f>
        <v>-1.3082809407531926E-2</v>
      </c>
    </row>
    <row r="653" spans="1:4" x14ac:dyDescent="0.35">
      <c r="A653" t="str">
        <f>Data!A654</f>
        <v>2024-07-03</v>
      </c>
      <c r="B653">
        <f>IF(OR(Data!B654="",Data!B653=""),"",Data!B654/Data!B653-1)</f>
        <v>-4.9649805576157391E-3</v>
      </c>
      <c r="C653">
        <f>IF(OR(Data!C654="",Data!C653=""),"",Data!C654/Data!C653-1)</f>
        <v>1.4175342786660439E-2</v>
      </c>
      <c r="D653">
        <f>IF(OR(Data!D654="",Data!D653=""),"",Data!D654/Data!D653-1)</f>
        <v>-7.3430013430031416E-4</v>
      </c>
    </row>
    <row r="654" spans="1:4" x14ac:dyDescent="0.35">
      <c r="A654" t="str">
        <f>Data!A655</f>
        <v>2024-07-04</v>
      </c>
      <c r="B654">
        <f>IF(OR(Data!B655="",Data!B654=""),"",Data!B655/Data!B654-1)</f>
        <v>-2.1496245012322612E-2</v>
      </c>
      <c r="C654">
        <f>IF(OR(Data!C655="",Data!C654=""),"",Data!C655/Data!C654-1)</f>
        <v>-9.6874361231433781E-3</v>
      </c>
      <c r="D654">
        <f>IF(OR(Data!D655="",Data!D654=""),"",Data!D655/Data!D654-1)</f>
        <v>2.2932732672142908E-3</v>
      </c>
    </row>
    <row r="655" spans="1:4" x14ac:dyDescent="0.35">
      <c r="A655" t="str">
        <f>Data!A656</f>
        <v>2024-07-05</v>
      </c>
      <c r="B655">
        <f>IF(OR(Data!B656="",Data!B655=""),"",Data!B656/Data!B655-1)</f>
        <v>5.3235574849099354E-2</v>
      </c>
      <c r="C655">
        <f>IF(OR(Data!C656="",Data!C655=""),"",Data!C656/Data!C655-1)</f>
        <v>2.8793718855989248E-2</v>
      </c>
      <c r="D655">
        <f>IF(OR(Data!D656="",Data!D655=""),"",Data!D656/Data!D655-1)</f>
        <v>2.6343926637959925E-2</v>
      </c>
    </row>
    <row r="656" spans="1:4" x14ac:dyDescent="0.35">
      <c r="A656" t="str">
        <f>Data!A657</f>
        <v>2024-07-08</v>
      </c>
      <c r="B656">
        <f>IF(OR(Data!B657="",Data!B656=""),"",Data!B657/Data!B656-1)</f>
        <v>1.5859245367602082E-3</v>
      </c>
      <c r="C656">
        <f>IF(OR(Data!C657="",Data!C656=""),"",Data!C657/Data!C656-1)</f>
        <v>1.6624886527861982E-2</v>
      </c>
      <c r="D656">
        <f>IF(OR(Data!D657="",Data!D656=""),"",Data!D657/Data!D656-1)</f>
        <v>-6.4670802121155391E-2</v>
      </c>
    </row>
    <row r="657" spans="1:4" x14ac:dyDescent="0.35">
      <c r="A657" t="str">
        <f>Data!A658</f>
        <v>2024-07-09</v>
      </c>
      <c r="B657">
        <f>IF(OR(Data!B658="",Data!B657=""),"",Data!B658/Data!B657-1)</f>
        <v>6.7860572685263243E-4</v>
      </c>
      <c r="C657">
        <f>IF(OR(Data!C658="",Data!C657=""),"",Data!C658/Data!C657-1)</f>
        <v>-6.401559902712517E-3</v>
      </c>
      <c r="D657">
        <f>IF(OR(Data!D658="",Data!D657=""),"",Data!D658/Data!D657-1)</f>
        <v>-1.7496199965738146E-2</v>
      </c>
    </row>
    <row r="658" spans="1:4" x14ac:dyDescent="0.35">
      <c r="A658" t="str">
        <f>Data!A659</f>
        <v>2024-07-10</v>
      </c>
      <c r="B658">
        <f>IF(OR(Data!B659="",Data!B658=""),"",Data!B659/Data!B658-1)</f>
        <v>-8.2053196213349722E-5</v>
      </c>
      <c r="C658">
        <f>IF(OR(Data!C659="",Data!C658=""),"",Data!C659/Data!C658-1)</f>
        <v>1.9693882943507157E-2</v>
      </c>
      <c r="D658">
        <f>IF(OR(Data!D659="",Data!D658=""),"",Data!D659/Data!D658-1)</f>
        <v>6.9123006411961896E-3</v>
      </c>
    </row>
    <row r="659" spans="1:4" x14ac:dyDescent="0.35">
      <c r="A659" t="str">
        <f>Data!A660</f>
        <v>2024-07-11</v>
      </c>
      <c r="B659">
        <f>IF(OR(Data!B660="",Data!B659=""),"",Data!B660/Data!B659-1)</f>
        <v>4.3708980091616834E-3</v>
      </c>
      <c r="C659">
        <f>IF(OR(Data!C660="",Data!C659=""),"",Data!C660/Data!C659-1)</f>
        <v>1.3064157913555974E-3</v>
      </c>
      <c r="D659">
        <f>IF(OR(Data!D660="",Data!D659=""),"",Data!D660/Data!D659-1)</f>
        <v>3.7228636209637456E-2</v>
      </c>
    </row>
    <row r="660" spans="1:4" x14ac:dyDescent="0.35">
      <c r="A660" t="str">
        <f>Data!A661</f>
        <v>2024-07-12</v>
      </c>
      <c r="B660">
        <f>IF(OR(Data!B661="",Data!B660=""),"",Data!B661/Data!B660-1)</f>
        <v>-2.4839257721916974E-3</v>
      </c>
      <c r="C660">
        <f>IF(OR(Data!C661="",Data!C660=""),"",Data!C661/Data!C660-1)</f>
        <v>1.3164877183544865E-2</v>
      </c>
      <c r="D660">
        <f>IF(OR(Data!D661="",Data!D660=""),"",Data!D661/Data!D660-1)</f>
        <v>-1.4106542376997933E-2</v>
      </c>
    </row>
    <row r="661" spans="1:4" x14ac:dyDescent="0.35">
      <c r="A661" t="str">
        <f>Data!A662</f>
        <v>2024-07-15</v>
      </c>
      <c r="B661">
        <f>IF(OR(Data!B662="",Data!B661=""),"",Data!B662/Data!B661-1)</f>
        <v>-1.1012377481880331E-2</v>
      </c>
      <c r="C661">
        <f>IF(OR(Data!C662="",Data!C661=""),"",Data!C662/Data!C661-1)</f>
        <v>7.5870678892762111E-3</v>
      </c>
      <c r="D661">
        <f>IF(OR(Data!D662="",Data!D661=""),"",Data!D662/Data!D661-1)</f>
        <v>-5.4221155986278635E-2</v>
      </c>
    </row>
    <row r="662" spans="1:4" x14ac:dyDescent="0.35">
      <c r="A662" t="str">
        <f>Data!A663</f>
        <v>2024-07-16</v>
      </c>
      <c r="B662">
        <f>IF(OR(Data!B663="",Data!B662=""),"",Data!B663/Data!B662-1)</f>
        <v>-1.0481385371366891E-2</v>
      </c>
      <c r="C662">
        <f>IF(OR(Data!C663="",Data!C662=""),"",Data!C663/Data!C662-1)</f>
        <v>-1.2331141801294687E-2</v>
      </c>
      <c r="D662">
        <f>IF(OR(Data!D663="",Data!D662=""),"",Data!D663/Data!D662-1)</f>
        <v>1.9325749981736307E-2</v>
      </c>
    </row>
    <row r="663" spans="1:4" x14ac:dyDescent="0.35">
      <c r="A663" t="str">
        <f>Data!A664</f>
        <v>2024-07-17</v>
      </c>
      <c r="B663">
        <f>IF(OR(Data!B664="",Data!B663=""),"",Data!B664/Data!B663-1)</f>
        <v>-2.5518932832691021E-4</v>
      </c>
      <c r="C663">
        <f>IF(OR(Data!C664="",Data!C663=""),"",Data!C664/Data!C663-1)</f>
        <v>-9.3220060366362434E-3</v>
      </c>
      <c r="D663">
        <f>IF(OR(Data!D664="",Data!D663=""),"",Data!D664/Data!D663-1)</f>
        <v>-1.8340752446398101E-2</v>
      </c>
    </row>
    <row r="664" spans="1:4" x14ac:dyDescent="0.35">
      <c r="A664" t="str">
        <f>Data!A665</f>
        <v>2024-07-18</v>
      </c>
      <c r="B664">
        <f>IF(OR(Data!B665="",Data!B664=""),"",Data!B665/Data!B664-1)</f>
        <v>-1.0413725631816306E-2</v>
      </c>
      <c r="C664">
        <f>IF(OR(Data!C665="",Data!C664=""),"",Data!C665/Data!C664-1)</f>
        <v>1.5861514859526693E-2</v>
      </c>
      <c r="D664">
        <f>IF(OR(Data!D665="",Data!D664=""),"",Data!D665/Data!D664-1)</f>
        <v>-3.4529663494366147E-2</v>
      </c>
    </row>
    <row r="665" spans="1:4" x14ac:dyDescent="0.35">
      <c r="A665" t="str">
        <f>Data!A666</f>
        <v>2024-07-19</v>
      </c>
      <c r="B665">
        <f>IF(OR(Data!B666="",Data!B665=""),"",Data!B666/Data!B665-1)</f>
        <v>-1.3762084226310978E-2</v>
      </c>
      <c r="C665">
        <f>IF(OR(Data!C666="",Data!C665=""),"",Data!C666/Data!C665-1)</f>
        <v>-4.7231002932380806E-3</v>
      </c>
      <c r="D665">
        <f>IF(OR(Data!D666="",Data!D665=""),"",Data!D666/Data!D665-1)</f>
        <v>-1.801618642717806E-2</v>
      </c>
    </row>
    <row r="666" spans="1:4" x14ac:dyDescent="0.35">
      <c r="A666" t="str">
        <f>Data!A667</f>
        <v>2024-07-22</v>
      </c>
      <c r="B666">
        <f>IF(OR(Data!B667="",Data!B666=""),"",Data!B667/Data!B666-1)</f>
        <v>2.532143761179384E-3</v>
      </c>
      <c r="C666">
        <f>IF(OR(Data!C667="",Data!C666=""),"",Data!C667/Data!C666-1)</f>
        <v>-5.7506460227313427E-3</v>
      </c>
      <c r="D666">
        <f>IF(OR(Data!D667="",Data!D666=""),"",Data!D667/Data!D666-1)</f>
        <v>-4.9732966979555426E-3</v>
      </c>
    </row>
    <row r="667" spans="1:4" x14ac:dyDescent="0.35">
      <c r="A667" t="str">
        <f>Data!A668</f>
        <v>2024-07-23</v>
      </c>
      <c r="B667">
        <f>IF(OR(Data!B668="",Data!B667=""),"",Data!B668/Data!B667-1)</f>
        <v>-4.6882785486719314E-3</v>
      </c>
      <c r="C667">
        <f>IF(OR(Data!C668="",Data!C667=""),"",Data!C668/Data!C667-1)</f>
        <v>-1.394126378937588E-2</v>
      </c>
      <c r="D667">
        <f>IF(OR(Data!D668="",Data!D667=""),"",Data!D668/Data!D667-1)</f>
        <v>-1.743834933410815E-2</v>
      </c>
    </row>
    <row r="668" spans="1:4" x14ac:dyDescent="0.35">
      <c r="A668" t="str">
        <f>Data!A669</f>
        <v>2024-07-24</v>
      </c>
      <c r="B668">
        <f>IF(OR(Data!B669="",Data!B668=""),"",Data!B669/Data!B668-1)</f>
        <v>3.0948991726315267E-2</v>
      </c>
      <c r="C668">
        <f>IF(OR(Data!C669="",Data!C668=""),"",Data!C669/Data!C668-1)</f>
        <v>6.6636123886216758E-3</v>
      </c>
      <c r="D668">
        <f>IF(OR(Data!D669="",Data!D668=""),"",Data!D669/Data!D668-1)</f>
        <v>-6.3510540595941856E-2</v>
      </c>
    </row>
    <row r="669" spans="1:4" x14ac:dyDescent="0.35">
      <c r="A669" t="str">
        <f>Data!A670</f>
        <v>2024-07-25</v>
      </c>
      <c r="B669">
        <f>IF(OR(Data!B670="",Data!B669=""),"",Data!B670/Data!B669-1)</f>
        <v>-5.125914057167158E-2</v>
      </c>
      <c r="C669">
        <f>IF(OR(Data!C670="",Data!C669=""),"",Data!C670/Data!C669-1)</f>
        <v>3.1718182481219603E-2</v>
      </c>
      <c r="D669">
        <f>IF(OR(Data!D670="",Data!D669=""),"",Data!D670/Data!D669-1)</f>
        <v>2.7842400129884259E-2</v>
      </c>
    </row>
    <row r="670" spans="1:4" x14ac:dyDescent="0.35">
      <c r="A670" t="str">
        <f>Data!A671</f>
        <v>2024-07-26</v>
      </c>
      <c r="B670">
        <f>IF(OR(Data!B671="",Data!B670=""),"",Data!B671/Data!B670-1)</f>
        <v>2.2478958288814299E-2</v>
      </c>
      <c r="C670">
        <f>IF(OR(Data!C671="",Data!C670=""),"",Data!C671/Data!C670-1)</f>
        <v>-1.5602555315014532E-2</v>
      </c>
      <c r="D670">
        <f>IF(OR(Data!D671="",Data!D670=""),"",Data!D671/Data!D670-1)</f>
        <v>3.955879221212566E-2</v>
      </c>
    </row>
    <row r="671" spans="1:4" x14ac:dyDescent="0.35">
      <c r="A671" t="str">
        <f>Data!A672</f>
        <v>2024-07-29</v>
      </c>
      <c r="B671">
        <f>IF(OR(Data!B672="",Data!B671=""),"",Data!B672/Data!B671-1)</f>
        <v>2.5645520124047749E-2</v>
      </c>
      <c r="C671">
        <f>IF(OR(Data!C672="",Data!C671=""),"",Data!C672/Data!C671-1)</f>
        <v>6.5090739248119256E-4</v>
      </c>
      <c r="D671">
        <f>IF(OR(Data!D672="",Data!D671=""),"",Data!D672/Data!D671-1)</f>
        <v>2.0298912307098904E-2</v>
      </c>
    </row>
    <row r="672" spans="1:4" x14ac:dyDescent="0.35">
      <c r="A672" t="str">
        <f>Data!A673</f>
        <v>2024-07-30</v>
      </c>
      <c r="B672">
        <f>IF(OR(Data!B673="",Data!B672=""),"",Data!B673/Data!B672-1)</f>
        <v>-4.023591044736885E-2</v>
      </c>
      <c r="C672">
        <f>IF(OR(Data!C673="",Data!C672=""),"",Data!C673/Data!C672-1)</f>
        <v>2.1703085349470186E-2</v>
      </c>
      <c r="D672">
        <f>IF(OR(Data!D673="",Data!D672=""),"",Data!D673/Data!D672-1)</f>
        <v>-3.3023112574280145E-2</v>
      </c>
    </row>
    <row r="673" spans="1:4" x14ac:dyDescent="0.35">
      <c r="A673" t="str">
        <f>Data!A674</f>
        <v>2024-07-31</v>
      </c>
      <c r="B673">
        <f>IF(OR(Data!B674="",Data!B673=""),"",Data!B674/Data!B673-1)</f>
        <v>-6.4335135116624365E-3</v>
      </c>
      <c r="C673">
        <f>IF(OR(Data!C674="",Data!C673=""),"",Data!C674/Data!C673-1)</f>
        <v>-9.0667358964069411E-4</v>
      </c>
      <c r="D673">
        <f>IF(OR(Data!D674="",Data!D673=""),"",Data!D674/Data!D673-1)</f>
        <v>-5.4796007654044354E-3</v>
      </c>
    </row>
    <row r="674" spans="1:4" x14ac:dyDescent="0.35">
      <c r="A674" t="str">
        <f>Data!A675</f>
        <v>2024-08-01</v>
      </c>
      <c r="B674">
        <f>IF(OR(Data!B675="",Data!B674=""),"",Data!B675/Data!B674-1)</f>
        <v>-7.0042142467561241E-3</v>
      </c>
      <c r="C674">
        <f>IF(OR(Data!C675="",Data!C674=""),"",Data!C675/Data!C674-1)</f>
        <v>7.0979885189192959E-3</v>
      </c>
      <c r="D674">
        <f>IF(OR(Data!D675="",Data!D674=""),"",Data!D675/Data!D674-1)</f>
        <v>3.5443107893695647E-4</v>
      </c>
    </row>
    <row r="675" spans="1:4" x14ac:dyDescent="0.35">
      <c r="A675" t="str">
        <f>Data!A676</f>
        <v>2024-08-02</v>
      </c>
      <c r="B675">
        <f>IF(OR(Data!B676="",Data!B675=""),"",Data!B676/Data!B675-1)</f>
        <v>-2.7368459414572999E-2</v>
      </c>
      <c r="C675">
        <f>IF(OR(Data!C676="",Data!C675=""),"",Data!C676/Data!C675-1)</f>
        <v>-1.5526459596942654E-2</v>
      </c>
      <c r="D675">
        <f>IF(OR(Data!D676="",Data!D675=""),"",Data!D676/Data!D675-1)</f>
        <v>1.8686164205810041E-2</v>
      </c>
    </row>
    <row r="676" spans="1:4" x14ac:dyDescent="0.35">
      <c r="A676" t="str">
        <f>Data!A677</f>
        <v>2024-08-05</v>
      </c>
      <c r="B676">
        <f>IF(OR(Data!B677="",Data!B676=""),"",Data!B677/Data!B676-1)</f>
        <v>-1.5042148526608123E-2</v>
      </c>
      <c r="C676">
        <f>IF(OR(Data!C677="",Data!C676=""),"",Data!C677/Data!C676-1)</f>
        <v>6.7345062109034348E-3</v>
      </c>
      <c r="D676">
        <f>IF(OR(Data!D677="",Data!D676=""),"",Data!D677/Data!D676-1)</f>
        <v>2.081385392004842E-2</v>
      </c>
    </row>
    <row r="677" spans="1:4" x14ac:dyDescent="0.35">
      <c r="A677" t="str">
        <f>Data!A678</f>
        <v>2024-08-06</v>
      </c>
      <c r="B677">
        <f>IF(OR(Data!B678="",Data!B677=""),"",Data!B678/Data!B677-1)</f>
        <v>-2.1574992572840568E-2</v>
      </c>
      <c r="C677">
        <f>IF(OR(Data!C678="",Data!C677=""),"",Data!C678/Data!C677-1)</f>
        <v>-2.5162587618969834E-3</v>
      </c>
      <c r="D677">
        <f>IF(OR(Data!D678="",Data!D677=""),"",Data!D678/Data!D677-1)</f>
        <v>-2.1246314322946547E-2</v>
      </c>
    </row>
    <row r="678" spans="1:4" x14ac:dyDescent="0.35">
      <c r="A678" t="str">
        <f>Data!A679</f>
        <v>2024-08-07</v>
      </c>
      <c r="B678">
        <f>IF(OR(Data!B679="",Data!B678=""),"",Data!B679/Data!B678-1)</f>
        <v>3.6081004521234306E-2</v>
      </c>
      <c r="C678">
        <f>IF(OR(Data!C679="",Data!C678=""),"",Data!C679/Data!C678-1)</f>
        <v>1.5187609486649212E-2</v>
      </c>
      <c r="D678">
        <f>IF(OR(Data!D679="",Data!D678=""),"",Data!D679/Data!D678-1)</f>
        <v>3.0144847039526024E-3</v>
      </c>
    </row>
    <row r="679" spans="1:4" x14ac:dyDescent="0.35">
      <c r="A679" t="str">
        <f>Data!A680</f>
        <v>2024-08-08</v>
      </c>
      <c r="B679">
        <f>IF(OR(Data!B680="",Data!B679=""),"",Data!B680/Data!B679-1)</f>
        <v>1.9297505745113464E-2</v>
      </c>
      <c r="C679">
        <f>IF(OR(Data!C680="",Data!C679=""),"",Data!C680/Data!C679-1)</f>
        <v>1.8262980237919724E-2</v>
      </c>
      <c r="D679">
        <f>IF(OR(Data!D680="",Data!D679=""),"",Data!D680/Data!D679-1)</f>
        <v>1.4370663704705189E-2</v>
      </c>
    </row>
    <row r="680" spans="1:4" x14ac:dyDescent="0.35">
      <c r="A680" t="str">
        <f>Data!A681</f>
        <v>2024-08-09</v>
      </c>
      <c r="B680">
        <f>IF(OR(Data!B681="",Data!B680=""),"",Data!B681/Data!B680-1)</f>
        <v>2.6167372305642367E-2</v>
      </c>
      <c r="C680">
        <f>IF(OR(Data!C681="",Data!C680=""),"",Data!C681/Data!C680-1)</f>
        <v>3.9906595886765261E-2</v>
      </c>
      <c r="D680">
        <f>IF(OR(Data!D681="",Data!D680=""),"",Data!D681/Data!D680-1)</f>
        <v>4.5217136839405647E-2</v>
      </c>
    </row>
    <row r="681" spans="1:4" x14ac:dyDescent="0.35">
      <c r="A681" t="str">
        <f>Data!A682</f>
        <v>2024-08-12</v>
      </c>
      <c r="B681">
        <f>IF(OR(Data!B682="",Data!B681=""),"",Data!B682/Data!B681-1)</f>
        <v>1.4943681438365664E-2</v>
      </c>
      <c r="C681">
        <f>IF(OR(Data!C682="",Data!C681=""),"",Data!C682/Data!C681-1)</f>
        <v>9.0224354847778798E-3</v>
      </c>
      <c r="D681">
        <f>IF(OR(Data!D682="",Data!D681=""),"",Data!D682/Data!D681-1)</f>
        <v>2.1922165123919424E-2</v>
      </c>
    </row>
    <row r="682" spans="1:4" x14ac:dyDescent="0.35">
      <c r="A682" t="str">
        <f>Data!A683</f>
        <v>2024-08-13</v>
      </c>
      <c r="B682">
        <f>IF(OR(Data!B683="",Data!B682=""),"",Data!B683/Data!B682-1)</f>
        <v>-2.1936513387131096E-2</v>
      </c>
      <c r="C682">
        <f>IF(OR(Data!C683="",Data!C682=""),"",Data!C683/Data!C682-1)</f>
        <v>5.1877722525797143E-3</v>
      </c>
      <c r="D682">
        <f>IF(OR(Data!D683="",Data!D682=""),"",Data!D683/Data!D682-1)</f>
        <v>2.4517255888253819E-2</v>
      </c>
    </row>
    <row r="683" spans="1:4" x14ac:dyDescent="0.35">
      <c r="A683" t="str">
        <f>Data!A684</f>
        <v>2024-08-14</v>
      </c>
      <c r="B683">
        <f>IF(OR(Data!B684="",Data!B683=""),"",Data!B684/Data!B683-1)</f>
        <v>-1.0039652626470108E-2</v>
      </c>
      <c r="C683">
        <f>IF(OR(Data!C684="",Data!C683=""),"",Data!C684/Data!C683-1)</f>
        <v>3.2084611147984443E-3</v>
      </c>
      <c r="D683">
        <f>IF(OR(Data!D684="",Data!D683=""),"",Data!D684/Data!D683-1)</f>
        <v>3.069736441779769E-3</v>
      </c>
    </row>
    <row r="684" spans="1:4" x14ac:dyDescent="0.35">
      <c r="A684" t="str">
        <f>Data!A685</f>
        <v>2024-08-15</v>
      </c>
      <c r="B684">
        <f>IF(OR(Data!B685="",Data!B684=""),"",Data!B685/Data!B684-1)</f>
        <v>1.0239694026120683E-2</v>
      </c>
      <c r="C684">
        <f>IF(OR(Data!C685="",Data!C684=""),"",Data!C685/Data!C684-1)</f>
        <v>-4.9973001873987455E-3</v>
      </c>
      <c r="D684">
        <f>IF(OR(Data!D685="",Data!D684=""),"",Data!D685/Data!D684-1)</f>
        <v>4.3795506467227741E-2</v>
      </c>
    </row>
    <row r="685" spans="1:4" x14ac:dyDescent="0.35">
      <c r="A685" t="str">
        <f>Data!A686</f>
        <v>2024-08-16</v>
      </c>
      <c r="B685">
        <f>IF(OR(Data!B686="",Data!B685=""),"",Data!B686/Data!B685-1)</f>
        <v>-2.3755705748985778E-2</v>
      </c>
      <c r="C685">
        <f>IF(OR(Data!C686="",Data!C685=""),"",Data!C686/Data!C685-1)</f>
        <v>5.3789909992865148E-3</v>
      </c>
      <c r="D685">
        <f>IF(OR(Data!D686="",Data!D685=""),"",Data!D686/Data!D685-1)</f>
        <v>1.2925839240466752E-2</v>
      </c>
    </row>
    <row r="686" spans="1:4" x14ac:dyDescent="0.35">
      <c r="A686" t="str">
        <f>Data!A687</f>
        <v>2024-08-19</v>
      </c>
      <c r="B686">
        <f>IF(OR(Data!B687="",Data!B686=""),"",Data!B687/Data!B686-1)</f>
        <v>1.4767370940845792E-2</v>
      </c>
      <c r="C686">
        <f>IF(OR(Data!C687="",Data!C686=""),"",Data!C687/Data!C686-1)</f>
        <v>-4.1348885415470882E-3</v>
      </c>
      <c r="D686">
        <f>IF(OR(Data!D687="",Data!D686=""),"",Data!D687/Data!D686-1)</f>
        <v>-2.4965801208895133E-2</v>
      </c>
    </row>
    <row r="687" spans="1:4" x14ac:dyDescent="0.35">
      <c r="A687" t="str">
        <f>Data!A688</f>
        <v>2024-08-20</v>
      </c>
      <c r="B687">
        <f>IF(OR(Data!B688="",Data!B687=""),"",Data!B688/Data!B687-1)</f>
        <v>-4.3965741116305246E-3</v>
      </c>
      <c r="C687">
        <f>IF(OR(Data!C688="",Data!C687=""),"",Data!C688/Data!C687-1)</f>
        <v>2.818411409265309E-3</v>
      </c>
      <c r="D687">
        <f>IF(OR(Data!D688="",Data!D687=""),"",Data!D688/Data!D687-1)</f>
        <v>4.3573661820567322E-2</v>
      </c>
    </row>
    <row r="688" spans="1:4" x14ac:dyDescent="0.35">
      <c r="A688" t="str">
        <f>Data!A689</f>
        <v>2024-08-21</v>
      </c>
      <c r="B688">
        <f>IF(OR(Data!B689="",Data!B688=""),"",Data!B689/Data!B688-1)</f>
        <v>-7.0715151240220431E-3</v>
      </c>
      <c r="C688">
        <f>IF(OR(Data!C689="",Data!C688=""),"",Data!C689/Data!C688-1)</f>
        <v>2.0253727331003502E-2</v>
      </c>
      <c r="D688">
        <f>IF(OR(Data!D689="",Data!D688=""),"",Data!D689/Data!D688-1)</f>
        <v>2.171973794725357E-2</v>
      </c>
    </row>
    <row r="689" spans="1:4" x14ac:dyDescent="0.35">
      <c r="A689" t="str">
        <f>Data!A690</f>
        <v>2024-08-22</v>
      </c>
      <c r="B689">
        <f>IF(OR(Data!B690="",Data!B689=""),"",Data!B690/Data!B689-1)</f>
        <v>1.472698151351759E-2</v>
      </c>
      <c r="C689">
        <f>IF(OR(Data!C690="",Data!C689=""),"",Data!C690/Data!C689-1)</f>
        <v>-1.470151575495382E-2</v>
      </c>
      <c r="D689">
        <f>IF(OR(Data!D690="",Data!D689=""),"",Data!D690/Data!D689-1)</f>
        <v>-1.2660478829579103E-2</v>
      </c>
    </row>
    <row r="690" spans="1:4" x14ac:dyDescent="0.35">
      <c r="A690" t="str">
        <f>Data!A691</f>
        <v>2024-08-23</v>
      </c>
      <c r="B690">
        <f>IF(OR(Data!B691="",Data!B690=""),"",Data!B691/Data!B690-1)</f>
        <v>9.3285827463644999E-3</v>
      </c>
      <c r="C690">
        <f>IF(OR(Data!C691="",Data!C690=""),"",Data!C691/Data!C690-1)</f>
        <v>1.7537711028508651E-2</v>
      </c>
      <c r="D690">
        <f>IF(OR(Data!D691="",Data!D690=""),"",Data!D691/Data!D690-1)</f>
        <v>-1.3739613162575548E-2</v>
      </c>
    </row>
    <row r="691" spans="1:4" x14ac:dyDescent="0.35">
      <c r="A691" t="str">
        <f>Data!A692</f>
        <v>2024-08-26</v>
      </c>
      <c r="B691">
        <f>IF(OR(Data!B692="",Data!B691=""),"",Data!B692/Data!B691-1)</f>
        <v>-6.7966636899630117E-3</v>
      </c>
      <c r="C691">
        <f>IF(OR(Data!C692="",Data!C691=""),"",Data!C692/Data!C691-1)</f>
        <v>2.0246620572402119E-2</v>
      </c>
      <c r="D691">
        <f>IF(OR(Data!D692="",Data!D691=""),"",Data!D692/Data!D691-1)</f>
        <v>9.4920252346262224E-3</v>
      </c>
    </row>
    <row r="692" spans="1:4" x14ac:dyDescent="0.35">
      <c r="A692" t="str">
        <f>Data!A693</f>
        <v>2024-08-27</v>
      </c>
      <c r="B692">
        <f>IF(OR(Data!B693="",Data!B692=""),"",Data!B693/Data!B692-1)</f>
        <v>2.3866898831918615E-2</v>
      </c>
      <c r="C692">
        <f>IF(OR(Data!C693="",Data!C692=""),"",Data!C693/Data!C692-1)</f>
        <v>-1.4823992030463806E-3</v>
      </c>
      <c r="D692">
        <f>IF(OR(Data!D693="",Data!D692=""),"",Data!D693/Data!D692-1)</f>
        <v>1.4550389148582976E-2</v>
      </c>
    </row>
    <row r="693" spans="1:4" x14ac:dyDescent="0.35">
      <c r="A693" t="str">
        <f>Data!A694</f>
        <v>2024-08-28</v>
      </c>
      <c r="B693">
        <f>IF(OR(Data!B694="",Data!B693=""),"",Data!B694/Data!B693-1)</f>
        <v>-2.0997461678430418E-2</v>
      </c>
      <c r="C693">
        <f>IF(OR(Data!C694="",Data!C693=""),"",Data!C694/Data!C693-1)</f>
        <v>-3.104810773656419E-2</v>
      </c>
      <c r="D693">
        <f>IF(OR(Data!D694="",Data!D693=""),"",Data!D694/Data!D693-1)</f>
        <v>6.4896818963882108E-3</v>
      </c>
    </row>
    <row r="694" spans="1:4" x14ac:dyDescent="0.35">
      <c r="A694" t="str">
        <f>Data!A695</f>
        <v>2024-08-29</v>
      </c>
      <c r="B694">
        <f>IF(OR(Data!B695="",Data!B694=""),"",Data!B695/Data!B694-1)</f>
        <v>1.2800097885635742E-2</v>
      </c>
      <c r="C694">
        <f>IF(OR(Data!C695="",Data!C694=""),"",Data!C695/Data!C694-1)</f>
        <v>-8.791103014626489E-3</v>
      </c>
      <c r="D694">
        <f>IF(OR(Data!D695="",Data!D694=""),"",Data!D695/Data!D694-1)</f>
        <v>9.9382759241510854E-3</v>
      </c>
    </row>
    <row r="695" spans="1:4" x14ac:dyDescent="0.35">
      <c r="A695" t="str">
        <f>Data!A696</f>
        <v>2024-08-30</v>
      </c>
      <c r="B695">
        <f>IF(OR(Data!B696="",Data!B695=""),"",Data!B696/Data!B695-1)</f>
        <v>1.2337150212737402E-2</v>
      </c>
      <c r="C695">
        <f>IF(OR(Data!C696="",Data!C695=""),"",Data!C696/Data!C695-1)</f>
        <v>1.9938624162616492E-2</v>
      </c>
      <c r="D695">
        <f>IF(OR(Data!D696="",Data!D695=""),"",Data!D696/Data!D695-1)</f>
        <v>5.2900583739169171E-2</v>
      </c>
    </row>
    <row r="696" spans="1:4" x14ac:dyDescent="0.35">
      <c r="A696" t="str">
        <f>Data!A697</f>
        <v>2024-09-02</v>
      </c>
      <c r="B696">
        <f>IF(OR(Data!B697="",Data!B696=""),"",Data!B697/Data!B696-1)</f>
        <v>-5.7736235328524899E-3</v>
      </c>
      <c r="C696">
        <f>IF(OR(Data!C697="",Data!C696=""),"",Data!C697/Data!C696-1)</f>
        <v>-5.5455926212810702E-5</v>
      </c>
      <c r="D696">
        <f>IF(OR(Data!D697="",Data!D696=""),"",Data!D697/Data!D696-1)</f>
        <v>3.3236783028965489E-2</v>
      </c>
    </row>
    <row r="697" spans="1:4" x14ac:dyDescent="0.35">
      <c r="A697" t="str">
        <f>Data!A698</f>
        <v>2024-09-03</v>
      </c>
      <c r="B697">
        <f>IF(OR(Data!B698="",Data!B697=""),"",Data!B698/Data!B697-1)</f>
        <v>6.946604633549347E-3</v>
      </c>
      <c r="C697">
        <f>IF(OR(Data!C698="",Data!C697=""),"",Data!C698/Data!C697-1)</f>
        <v>-1.4594580769198617E-2</v>
      </c>
      <c r="D697">
        <f>IF(OR(Data!D698="",Data!D697=""),"",Data!D698/Data!D697-1)</f>
        <v>6.2886016144043655E-3</v>
      </c>
    </row>
    <row r="698" spans="1:4" x14ac:dyDescent="0.35">
      <c r="A698" t="str">
        <f>Data!A699</f>
        <v>2024-09-04</v>
      </c>
      <c r="B698">
        <f>IF(OR(Data!B699="",Data!B698=""),"",Data!B699/Data!B698-1)</f>
        <v>-2.4321674353321998E-2</v>
      </c>
      <c r="C698">
        <f>IF(OR(Data!C699="",Data!C698=""),"",Data!C699/Data!C698-1)</f>
        <v>-7.2576004868383226E-3</v>
      </c>
      <c r="D698">
        <f>IF(OR(Data!D699="",Data!D698=""),"",Data!D699/Data!D698-1)</f>
        <v>2.9207814128471954E-2</v>
      </c>
    </row>
    <row r="699" spans="1:4" x14ac:dyDescent="0.35">
      <c r="A699" t="str">
        <f>Data!A700</f>
        <v>2024-09-05</v>
      </c>
      <c r="B699">
        <f>IF(OR(Data!B700="",Data!B699=""),"",Data!B700/Data!B699-1)</f>
        <v>1.9060131518607193E-2</v>
      </c>
      <c r="C699">
        <f>IF(OR(Data!C700="",Data!C699=""),"",Data!C700/Data!C699-1)</f>
        <v>1.298035977312928E-2</v>
      </c>
      <c r="D699">
        <f>IF(OR(Data!D700="",Data!D699=""),"",Data!D700/Data!D699-1)</f>
        <v>-2.9967561741509607E-2</v>
      </c>
    </row>
    <row r="700" spans="1:4" x14ac:dyDescent="0.35">
      <c r="A700" t="str">
        <f>Data!A701</f>
        <v>2024-09-06</v>
      </c>
      <c r="B700">
        <f>IF(OR(Data!B701="",Data!B700=""),"",Data!B701/Data!B700-1)</f>
        <v>-3.2927453221909264E-3</v>
      </c>
      <c r="C700">
        <f>IF(OR(Data!C701="",Data!C700=""),"",Data!C701/Data!C700-1)</f>
        <v>8.5246271976955335E-3</v>
      </c>
      <c r="D700">
        <f>IF(OR(Data!D701="",Data!D700=""),"",Data!D701/Data!D700-1)</f>
        <v>1.2566082451145766E-2</v>
      </c>
    </row>
    <row r="701" spans="1:4" x14ac:dyDescent="0.35">
      <c r="A701" t="str">
        <f>Data!A702</f>
        <v>2024-09-09</v>
      </c>
      <c r="B701">
        <f>IF(OR(Data!B702="",Data!B701=""),"",Data!B702/Data!B701-1)</f>
        <v>-1.0004049056264952E-2</v>
      </c>
      <c r="C701">
        <f>IF(OR(Data!C702="",Data!C701=""),"",Data!C702/Data!C701-1)</f>
        <v>-3.2910248623396754E-3</v>
      </c>
      <c r="D701">
        <f>IF(OR(Data!D702="",Data!D701=""),"",Data!D702/Data!D701-1)</f>
        <v>5.63602765925868E-2</v>
      </c>
    </row>
    <row r="702" spans="1:4" x14ac:dyDescent="0.35">
      <c r="A702" t="str">
        <f>Data!A703</f>
        <v>2024-09-10</v>
      </c>
      <c r="B702">
        <f>IF(OR(Data!B703="",Data!B702=""),"",Data!B703/Data!B702-1)</f>
        <v>2.1610114382328627E-2</v>
      </c>
      <c r="C702">
        <f>IF(OR(Data!C703="",Data!C702=""),"",Data!C703/Data!C702-1)</f>
        <v>-5.2014705467365863E-3</v>
      </c>
      <c r="D702">
        <f>IF(OR(Data!D703="",Data!D702=""),"",Data!D703/Data!D702-1)</f>
        <v>-5.9734462203391292E-3</v>
      </c>
    </row>
    <row r="703" spans="1:4" x14ac:dyDescent="0.35">
      <c r="A703" t="str">
        <f>Data!A704</f>
        <v>2024-09-11</v>
      </c>
      <c r="B703">
        <f>IF(OR(Data!B704="",Data!B703=""),"",Data!B704/Data!B703-1)</f>
        <v>-1.3593329134449217E-2</v>
      </c>
      <c r="C703">
        <f>IF(OR(Data!C704="",Data!C703=""),"",Data!C704/Data!C703-1)</f>
        <v>-5.5731562367191678E-3</v>
      </c>
      <c r="D703">
        <f>IF(OR(Data!D704="",Data!D703=""),"",Data!D704/Data!D703-1)</f>
        <v>-2.4572164810332309E-2</v>
      </c>
    </row>
    <row r="704" spans="1:4" x14ac:dyDescent="0.35">
      <c r="A704" t="str">
        <f>Data!A705</f>
        <v>2024-09-12</v>
      </c>
      <c r="B704">
        <f>IF(OR(Data!B705="",Data!B704=""),"",Data!B705/Data!B704-1)</f>
        <v>-2.7387245720185582E-2</v>
      </c>
      <c r="C704">
        <f>IF(OR(Data!C705="",Data!C704=""),"",Data!C705/Data!C704-1)</f>
        <v>-1.3457424185380651E-2</v>
      </c>
      <c r="D704">
        <f>IF(OR(Data!D705="",Data!D704=""),"",Data!D705/Data!D704-1)</f>
        <v>-1.8833111241697842E-2</v>
      </c>
    </row>
    <row r="705" spans="1:4" x14ac:dyDescent="0.35">
      <c r="A705" t="str">
        <f>Data!A706</f>
        <v>2024-09-13</v>
      </c>
      <c r="B705">
        <f>IF(OR(Data!B706="",Data!B705=""),"",Data!B706/Data!B705-1)</f>
        <v>-3.026583545980166E-2</v>
      </c>
      <c r="C705">
        <f>IF(OR(Data!C706="",Data!C705=""),"",Data!C706/Data!C705-1)</f>
        <v>2.4821373170066385E-2</v>
      </c>
      <c r="D705">
        <f>IF(OR(Data!D706="",Data!D705=""),"",Data!D706/Data!D705-1)</f>
        <v>-3.162797056869171E-2</v>
      </c>
    </row>
    <row r="706" spans="1:4" x14ac:dyDescent="0.35">
      <c r="A706" t="str">
        <f>Data!A707</f>
        <v>2024-09-16</v>
      </c>
      <c r="B706">
        <f>IF(OR(Data!B707="",Data!B706=""),"",Data!B707/Data!B706-1)</f>
        <v>1.2599769178278208E-2</v>
      </c>
      <c r="C706">
        <f>IF(OR(Data!C707="",Data!C706=""),"",Data!C707/Data!C706-1)</f>
        <v>-4.5371877823827678E-3</v>
      </c>
      <c r="D706">
        <f>IF(OR(Data!D707="",Data!D706=""),"",Data!D707/Data!D706-1)</f>
        <v>-2.2730574638313739E-2</v>
      </c>
    </row>
    <row r="707" spans="1:4" x14ac:dyDescent="0.35">
      <c r="A707" t="str">
        <f>Data!A708</f>
        <v>2024-09-17</v>
      </c>
      <c r="B707">
        <f>IF(OR(Data!B708="",Data!B707=""),"",Data!B708/Data!B707-1)</f>
        <v>-2.4893982094753797E-2</v>
      </c>
      <c r="C707">
        <f>IF(OR(Data!C708="",Data!C707=""),"",Data!C708/Data!C707-1)</f>
        <v>1.8718153974218055E-2</v>
      </c>
      <c r="D707">
        <f>IF(OR(Data!D708="",Data!D707=""),"",Data!D708/Data!D707-1)</f>
        <v>-1.0509483632985539E-2</v>
      </c>
    </row>
    <row r="708" spans="1:4" x14ac:dyDescent="0.35">
      <c r="A708" t="str">
        <f>Data!A709</f>
        <v>2024-09-18</v>
      </c>
      <c r="B708">
        <f>IF(OR(Data!B709="",Data!B708=""),"",Data!B709/Data!B708-1)</f>
        <v>3.613391210320116E-2</v>
      </c>
      <c r="C708">
        <f>IF(OR(Data!C709="",Data!C708=""),"",Data!C709/Data!C708-1)</f>
        <v>2.3376213871477702E-2</v>
      </c>
      <c r="D708">
        <f>IF(OR(Data!D709="",Data!D708=""),"",Data!D709/Data!D708-1)</f>
        <v>-4.0762991470326138E-2</v>
      </c>
    </row>
    <row r="709" spans="1:4" x14ac:dyDescent="0.35">
      <c r="A709" t="str">
        <f>Data!A710</f>
        <v>2024-09-19</v>
      </c>
      <c r="B709">
        <f>IF(OR(Data!B710="",Data!B709=""),"",Data!B710/Data!B709-1)</f>
        <v>-4.0400689521057354E-2</v>
      </c>
      <c r="C709">
        <f>IF(OR(Data!C710="",Data!C709=""),"",Data!C710/Data!C709-1)</f>
        <v>1.5379121515658234E-2</v>
      </c>
      <c r="D709">
        <f>IF(OR(Data!D710="",Data!D709=""),"",Data!D710/Data!D709-1)</f>
        <v>1.018983536000162E-3</v>
      </c>
    </row>
    <row r="710" spans="1:4" x14ac:dyDescent="0.35">
      <c r="A710" t="str">
        <f>Data!A711</f>
        <v>2024-09-20</v>
      </c>
      <c r="B710">
        <f>IF(OR(Data!B711="",Data!B710=""),"",Data!B711/Data!B710-1)</f>
        <v>3.4925283899175374E-2</v>
      </c>
      <c r="C710">
        <f>IF(OR(Data!C711="",Data!C710=""),"",Data!C711/Data!C710-1)</f>
        <v>-6.167648897739908E-3</v>
      </c>
      <c r="D710">
        <f>IF(OR(Data!D711="",Data!D710=""),"",Data!D711/Data!D710-1)</f>
        <v>2.8003252861173555E-2</v>
      </c>
    </row>
    <row r="711" spans="1:4" x14ac:dyDescent="0.35">
      <c r="A711" t="str">
        <f>Data!A712</f>
        <v>2024-09-23</v>
      </c>
      <c r="B711">
        <f>IF(OR(Data!B712="",Data!B711=""),"",Data!B712/Data!B711-1)</f>
        <v>4.6313401824360501E-3</v>
      </c>
      <c r="C711">
        <f>IF(OR(Data!C712="",Data!C711=""),"",Data!C712/Data!C711-1)</f>
        <v>6.3636882159270325E-3</v>
      </c>
      <c r="D711">
        <f>IF(OR(Data!D712="",Data!D711=""),"",Data!D712/Data!D711-1)</f>
        <v>-2.6329725339104493E-2</v>
      </c>
    </row>
    <row r="712" spans="1:4" x14ac:dyDescent="0.35">
      <c r="A712" t="str">
        <f>Data!A713</f>
        <v>2024-09-24</v>
      </c>
      <c r="B712">
        <f>IF(OR(Data!B713="",Data!B712=""),"",Data!B713/Data!B712-1)</f>
        <v>-1.532841436461152E-3</v>
      </c>
      <c r="C712">
        <f>IF(OR(Data!C713="",Data!C712=""),"",Data!C713/Data!C712-1)</f>
        <v>-7.5488735295947684E-5</v>
      </c>
      <c r="D712">
        <f>IF(OR(Data!D713="",Data!D712=""),"",Data!D713/Data!D712-1)</f>
        <v>4.7208956392390089E-2</v>
      </c>
    </row>
    <row r="713" spans="1:4" x14ac:dyDescent="0.35">
      <c r="A713" t="str">
        <f>Data!A714</f>
        <v>2024-09-25</v>
      </c>
      <c r="B713">
        <f>IF(OR(Data!B714="",Data!B713=""),"",Data!B714/Data!B713-1)</f>
        <v>-1.0443386826652024E-2</v>
      </c>
      <c r="C713">
        <f>IF(OR(Data!C714="",Data!C713=""),"",Data!C714/Data!C713-1)</f>
        <v>-1.3180411678627268E-2</v>
      </c>
      <c r="D713">
        <f>IF(OR(Data!D714="",Data!D713=""),"",Data!D714/Data!D713-1)</f>
        <v>1.6000536693177914E-2</v>
      </c>
    </row>
    <row r="714" spans="1:4" x14ac:dyDescent="0.35">
      <c r="A714" t="str">
        <f>Data!A715</f>
        <v>2024-09-26</v>
      </c>
      <c r="B714">
        <f>IF(OR(Data!B715="",Data!B714=""),"",Data!B715/Data!B714-1)</f>
        <v>8.4175309587506408E-3</v>
      </c>
      <c r="C714">
        <f>IF(OR(Data!C715="",Data!C714=""),"",Data!C715/Data!C714-1)</f>
        <v>5.1662590999803637E-3</v>
      </c>
      <c r="D714">
        <f>IF(OR(Data!D715="",Data!D714=""),"",Data!D715/Data!D714-1)</f>
        <v>3.1967597967636374E-2</v>
      </c>
    </row>
    <row r="715" spans="1:4" x14ac:dyDescent="0.35">
      <c r="A715" t="str">
        <f>Data!A716</f>
        <v>2024-09-27</v>
      </c>
      <c r="B715">
        <f>IF(OR(Data!B716="",Data!B715=""),"",Data!B716/Data!B715-1)</f>
        <v>-3.5230249152229387E-4</v>
      </c>
      <c r="C715">
        <f>IF(OR(Data!C716="",Data!C715=""),"",Data!C716/Data!C715-1)</f>
        <v>-1.724769312621155E-2</v>
      </c>
      <c r="D715">
        <f>IF(OR(Data!D716="",Data!D715=""),"",Data!D716/Data!D715-1)</f>
        <v>-1.9002037121510384E-2</v>
      </c>
    </row>
    <row r="716" spans="1:4" x14ac:dyDescent="0.35">
      <c r="A716" t="str">
        <f>Data!A717</f>
        <v>2024-09-30</v>
      </c>
      <c r="B716">
        <f>IF(OR(Data!B717="",Data!B716=""),"",Data!B717/Data!B716-1)</f>
        <v>2.2720007650669061E-2</v>
      </c>
      <c r="C716">
        <f>IF(OR(Data!C717="",Data!C716=""),"",Data!C717/Data!C716-1)</f>
        <v>1.8267446662316944E-2</v>
      </c>
      <c r="D716">
        <f>IF(OR(Data!D717="",Data!D716=""),"",Data!D717/Data!D716-1)</f>
        <v>2.653152044077034E-2</v>
      </c>
    </row>
    <row r="717" spans="1:4" x14ac:dyDescent="0.35">
      <c r="A717" t="str">
        <f>Data!A718</f>
        <v>2024-10-01</v>
      </c>
      <c r="B717">
        <f>IF(OR(Data!B718="",Data!B717=""),"",Data!B718/Data!B717-1)</f>
        <v>2.6883791887415409E-3</v>
      </c>
      <c r="C717">
        <f>IF(OR(Data!C718="",Data!C717=""),"",Data!C718/Data!C717-1)</f>
        <v>-6.6593931559341124E-3</v>
      </c>
      <c r="D717">
        <f>IF(OR(Data!D718="",Data!D717=""),"",Data!D718/Data!D717-1)</f>
        <v>-3.1694834147413142E-2</v>
      </c>
    </row>
    <row r="718" spans="1:4" x14ac:dyDescent="0.35">
      <c r="A718" t="str">
        <f>Data!A719</f>
        <v>2024-10-02</v>
      </c>
      <c r="B718">
        <f>IF(OR(Data!B719="",Data!B718=""),"",Data!B719/Data!B718-1)</f>
        <v>3.4116931876664314E-3</v>
      </c>
      <c r="C718">
        <f>IF(OR(Data!C719="",Data!C718=""),"",Data!C719/Data!C718-1)</f>
        <v>3.3104337003275752E-3</v>
      </c>
      <c r="D718">
        <f>IF(OR(Data!D719="",Data!D718=""),"",Data!D719/Data!D718-1)</f>
        <v>2.7632228883572862E-2</v>
      </c>
    </row>
    <row r="719" spans="1:4" x14ac:dyDescent="0.35">
      <c r="A719" t="str">
        <f>Data!A720</f>
        <v>2024-10-03</v>
      </c>
      <c r="B719">
        <f>IF(OR(Data!B720="",Data!B719=""),"",Data!B720/Data!B719-1)</f>
        <v>-6.8483778776224913E-3</v>
      </c>
      <c r="C719">
        <f>IF(OR(Data!C720="",Data!C719=""),"",Data!C720/Data!C719-1)</f>
        <v>4.5470980615220924E-3</v>
      </c>
      <c r="D719">
        <f>IF(OR(Data!D720="",Data!D719=""),"",Data!D720/Data!D719-1)</f>
        <v>5.7216169346476775E-3</v>
      </c>
    </row>
    <row r="720" spans="1:4" x14ac:dyDescent="0.35">
      <c r="A720" t="str">
        <f>Data!A721</f>
        <v>2024-10-04</v>
      </c>
      <c r="B720">
        <f>IF(OR(Data!B721="",Data!B720=""),"",Data!B721/Data!B720-1)</f>
        <v>-7.3912391720065695E-4</v>
      </c>
      <c r="C720">
        <f>IF(OR(Data!C721="",Data!C720=""),"",Data!C721/Data!C720-1)</f>
        <v>-3.5896603220210155E-3</v>
      </c>
      <c r="D720">
        <f>IF(OR(Data!D721="",Data!D720=""),"",Data!D721/Data!D720-1)</f>
        <v>1.7295389356528412E-2</v>
      </c>
    </row>
    <row r="721" spans="1:4" x14ac:dyDescent="0.35">
      <c r="A721" t="str">
        <f>Data!A722</f>
        <v>2024-10-07</v>
      </c>
      <c r="B721">
        <f>IF(OR(Data!B722="",Data!B721=""),"",Data!B722/Data!B721-1)</f>
        <v>6.5781258671402387E-3</v>
      </c>
      <c r="C721">
        <f>IF(OR(Data!C722="",Data!C721=""),"",Data!C722/Data!C721-1)</f>
        <v>9.1292468389627679E-3</v>
      </c>
      <c r="D721">
        <f>IF(OR(Data!D722="",Data!D721=""),"",Data!D722/Data!D721-1)</f>
        <v>-3.4122214018468933E-2</v>
      </c>
    </row>
    <row r="722" spans="1:4" x14ac:dyDescent="0.35">
      <c r="A722" t="str">
        <f>Data!A723</f>
        <v>2024-10-08</v>
      </c>
      <c r="B722">
        <f>IF(OR(Data!B723="",Data!B722=""),"",Data!B723/Data!B722-1)</f>
        <v>-3.3239088147677287E-2</v>
      </c>
      <c r="C722">
        <f>IF(OR(Data!C723="",Data!C722=""),"",Data!C723/Data!C722-1)</f>
        <v>-6.8126915345356753E-3</v>
      </c>
      <c r="D722">
        <f>IF(OR(Data!D723="",Data!D722=""),"",Data!D723/Data!D722-1)</f>
        <v>-2.5959097486636384E-2</v>
      </c>
    </row>
    <row r="723" spans="1:4" x14ac:dyDescent="0.35">
      <c r="A723" t="str">
        <f>Data!A724</f>
        <v>2024-10-09</v>
      </c>
      <c r="B723">
        <f>IF(OR(Data!B724="",Data!B723=""),"",Data!B724/Data!B723-1)</f>
        <v>-2.6213266941004343E-2</v>
      </c>
      <c r="C723">
        <f>IF(OR(Data!C724="",Data!C723=""),"",Data!C724/Data!C723-1)</f>
        <v>1.3446646018404618E-2</v>
      </c>
      <c r="D723">
        <f>IF(OR(Data!D724="",Data!D723=""),"",Data!D724/Data!D723-1)</f>
        <v>1.8638247622852377E-2</v>
      </c>
    </row>
    <row r="724" spans="1:4" x14ac:dyDescent="0.35">
      <c r="A724" t="str">
        <f>Data!A725</f>
        <v>2024-10-10</v>
      </c>
      <c r="B724">
        <f>IF(OR(Data!B725="",Data!B724=""),"",Data!B725/Data!B724-1)</f>
        <v>1.5381574504415685E-2</v>
      </c>
      <c r="C724">
        <f>IF(OR(Data!C725="",Data!C724=""),"",Data!C725/Data!C724-1)</f>
        <v>-1.9705464800621519E-2</v>
      </c>
      <c r="D724">
        <f>IF(OR(Data!D725="",Data!D724=""),"",Data!D725/Data!D724-1)</f>
        <v>-2.751479830283321E-2</v>
      </c>
    </row>
    <row r="725" spans="1:4" x14ac:dyDescent="0.35">
      <c r="A725" t="str">
        <f>Data!A726</f>
        <v>2024-10-11</v>
      </c>
      <c r="B725">
        <f>IF(OR(Data!B726="",Data!B725=""),"",Data!B726/Data!B725-1)</f>
        <v>3.8247672605691285E-3</v>
      </c>
      <c r="C725">
        <f>IF(OR(Data!C726="",Data!C725=""),"",Data!C726/Data!C725-1)</f>
        <v>2.1855335488205618E-3</v>
      </c>
      <c r="D725">
        <f>IF(OR(Data!D726="",Data!D725=""),"",Data!D726/Data!D725-1)</f>
        <v>1.455103562304072E-2</v>
      </c>
    </row>
    <row r="726" spans="1:4" x14ac:dyDescent="0.35">
      <c r="A726" t="str">
        <f>Data!A727</f>
        <v>2024-10-14</v>
      </c>
      <c r="B726">
        <f>IF(OR(Data!B727="",Data!B726=""),"",Data!B727/Data!B726-1)</f>
        <v>-3.2742172672540759E-3</v>
      </c>
      <c r="C726">
        <f>IF(OR(Data!C727="",Data!C726=""),"",Data!C727/Data!C726-1)</f>
        <v>2.9806994517325158E-2</v>
      </c>
      <c r="D726">
        <f>IF(OR(Data!D727="",Data!D726=""),"",Data!D727/Data!D726-1)</f>
        <v>-3.9656319690107078E-2</v>
      </c>
    </row>
    <row r="727" spans="1:4" x14ac:dyDescent="0.35">
      <c r="A727" t="str">
        <f>Data!A728</f>
        <v>2024-10-15</v>
      </c>
      <c r="B727">
        <f>IF(OR(Data!B728="",Data!B727=""),"",Data!B728/Data!B727-1)</f>
        <v>7.6922591913031191E-4</v>
      </c>
      <c r="C727">
        <f>IF(OR(Data!C728="",Data!C727=""),"",Data!C728/Data!C727-1)</f>
        <v>-1.4609723918978523E-2</v>
      </c>
      <c r="D727">
        <f>IF(OR(Data!D728="",Data!D727=""),"",Data!D728/Data!D727-1)</f>
        <v>2.6335959176841062E-2</v>
      </c>
    </row>
    <row r="728" spans="1:4" x14ac:dyDescent="0.35">
      <c r="A728" t="str">
        <f>Data!A729</f>
        <v>2024-10-16</v>
      </c>
      <c r="B728">
        <f>IF(OR(Data!B729="",Data!B728=""),"",Data!B729/Data!B728-1)</f>
        <v>7.3785327718280946E-3</v>
      </c>
      <c r="C728">
        <f>IF(OR(Data!C729="",Data!C728=""),"",Data!C729/Data!C728-1)</f>
        <v>-9.8299383382749461E-3</v>
      </c>
      <c r="D728">
        <f>IF(OR(Data!D729="",Data!D728=""),"",Data!D729/Data!D728-1)</f>
        <v>-3.5770142528515181E-2</v>
      </c>
    </row>
    <row r="729" spans="1:4" x14ac:dyDescent="0.35">
      <c r="A729" t="str">
        <f>Data!A730</f>
        <v>2024-10-17</v>
      </c>
      <c r="B729">
        <f>IF(OR(Data!B730="",Data!B729=""),"",Data!B730/Data!B729-1)</f>
        <v>-1.0341663547043134E-2</v>
      </c>
      <c r="C729">
        <f>IF(OR(Data!C730="",Data!C729=""),"",Data!C730/Data!C729-1)</f>
        <v>8.0280191131281153E-3</v>
      </c>
      <c r="D729">
        <f>IF(OR(Data!D730="",Data!D729=""),"",Data!D730/Data!D729-1)</f>
        <v>1.7266247525594913E-2</v>
      </c>
    </row>
    <row r="730" spans="1:4" x14ac:dyDescent="0.35">
      <c r="A730" t="str">
        <f>Data!A731</f>
        <v>2024-10-18</v>
      </c>
      <c r="B730">
        <f>IF(OR(Data!B731="",Data!B730=""),"",Data!B731/Data!B730-1)</f>
        <v>-1.5051223995291019E-2</v>
      </c>
      <c r="C730">
        <f>IF(OR(Data!C731="",Data!C730=""),"",Data!C731/Data!C730-1)</f>
        <v>2.9857479878314663E-3</v>
      </c>
      <c r="D730">
        <f>IF(OR(Data!D731="",Data!D730=""),"",Data!D731/Data!D730-1)</f>
        <v>1.9506867675067596E-2</v>
      </c>
    </row>
    <row r="731" spans="1:4" x14ac:dyDescent="0.35">
      <c r="A731" t="str">
        <f>Data!A732</f>
        <v>2024-10-21</v>
      </c>
      <c r="B731">
        <f>IF(OR(Data!B732="",Data!B731=""),"",Data!B732/Data!B731-1)</f>
        <v>4.326258556276219E-3</v>
      </c>
      <c r="C731">
        <f>IF(OR(Data!C732="",Data!C731=""),"",Data!C732/Data!C731-1)</f>
        <v>5.5622994842574602E-3</v>
      </c>
      <c r="D731">
        <f>IF(OR(Data!D732="",Data!D731=""),"",Data!D732/Data!D731-1)</f>
        <v>-2.0147530770996624E-2</v>
      </c>
    </row>
    <row r="732" spans="1:4" x14ac:dyDescent="0.35">
      <c r="A732" t="str">
        <f>Data!A733</f>
        <v>2024-10-22</v>
      </c>
      <c r="B732">
        <f>IF(OR(Data!B733="",Data!B732=""),"",Data!B733/Data!B732-1)</f>
        <v>-1.8984569219480774E-2</v>
      </c>
      <c r="C732">
        <f>IF(OR(Data!C733="",Data!C732=""),"",Data!C733/Data!C732-1)</f>
        <v>7.6546320990358296E-3</v>
      </c>
      <c r="D732">
        <f>IF(OR(Data!D733="",Data!D732=""),"",Data!D733/Data!D732-1)</f>
        <v>1.8174036881209776E-2</v>
      </c>
    </row>
    <row r="733" spans="1:4" x14ac:dyDescent="0.35">
      <c r="A733" t="str">
        <f>Data!A734</f>
        <v>2024-10-23</v>
      </c>
      <c r="B733">
        <f>IF(OR(Data!B734="",Data!B733=""),"",Data!B734/Data!B733-1)</f>
        <v>8.6014903296027789E-3</v>
      </c>
      <c r="C733">
        <f>IF(OR(Data!C734="",Data!C733=""),"",Data!C734/Data!C733-1)</f>
        <v>9.856410472874666E-3</v>
      </c>
      <c r="D733">
        <f>IF(OR(Data!D734="",Data!D733=""),"",Data!D734/Data!D733-1)</f>
        <v>8.3982264301147858E-3</v>
      </c>
    </row>
    <row r="734" spans="1:4" x14ac:dyDescent="0.35">
      <c r="A734" t="str">
        <f>Data!A735</f>
        <v>2024-10-24</v>
      </c>
      <c r="B734">
        <f>IF(OR(Data!B735="",Data!B734=""),"",Data!B735/Data!B734-1)</f>
        <v>-3.3091490680479896E-2</v>
      </c>
      <c r="C734">
        <f>IF(OR(Data!C735="",Data!C734=""),"",Data!C735/Data!C734-1)</f>
        <v>1.7077314509870156E-2</v>
      </c>
      <c r="D734">
        <f>IF(OR(Data!D735="",Data!D734=""),"",Data!D735/Data!D734-1)</f>
        <v>-1.5493761401772943E-2</v>
      </c>
    </row>
    <row r="735" spans="1:4" x14ac:dyDescent="0.35">
      <c r="A735" t="str">
        <f>Data!A736</f>
        <v>2024-10-25</v>
      </c>
      <c r="B735">
        <f>IF(OR(Data!B736="",Data!B735=""),"",Data!B736/Data!B735-1)</f>
        <v>2.1204828011855525E-2</v>
      </c>
      <c r="C735">
        <f>IF(OR(Data!C736="",Data!C735=""),"",Data!C736/Data!C735-1)</f>
        <v>6.4554276501480601E-3</v>
      </c>
      <c r="D735">
        <f>IF(OR(Data!D736="",Data!D735=""),"",Data!D736/Data!D735-1)</f>
        <v>-2.9269912569742984E-2</v>
      </c>
    </row>
    <row r="736" spans="1:4" x14ac:dyDescent="0.35">
      <c r="A736" t="str">
        <f>Data!A737</f>
        <v>2024-10-28</v>
      </c>
      <c r="B736">
        <f>IF(OR(Data!B737="",Data!B736=""),"",Data!B737/Data!B736-1)</f>
        <v>9.9007218867699365E-3</v>
      </c>
      <c r="C736">
        <f>IF(OR(Data!C737="",Data!C736=""),"",Data!C737/Data!C736-1)</f>
        <v>-3.3258403665443748E-3</v>
      </c>
      <c r="D736">
        <f>IF(OR(Data!D737="",Data!D736=""),"",Data!D737/Data!D736-1)</f>
        <v>-5.6660186409348001E-2</v>
      </c>
    </row>
    <row r="737" spans="1:4" x14ac:dyDescent="0.35">
      <c r="A737" t="str">
        <f>Data!A738</f>
        <v>2024-10-29</v>
      </c>
      <c r="B737">
        <f>IF(OR(Data!B738="",Data!B737=""),"",Data!B738/Data!B737-1)</f>
        <v>5.5349649023657133E-3</v>
      </c>
      <c r="C737">
        <f>IF(OR(Data!C738="",Data!C737=""),"",Data!C738/Data!C737-1)</f>
        <v>1.0430176898249321E-2</v>
      </c>
      <c r="D737">
        <f>IF(OR(Data!D738="",Data!D737=""),"",Data!D738/Data!D737-1)</f>
        <v>1.1100609507732173E-2</v>
      </c>
    </row>
    <row r="738" spans="1:4" x14ac:dyDescent="0.35">
      <c r="A738" t="str">
        <f>Data!A739</f>
        <v>2024-10-30</v>
      </c>
      <c r="B738">
        <f>IF(OR(Data!B739="",Data!B738=""),"",Data!B739/Data!B738-1)</f>
        <v>2.0256441154583138E-2</v>
      </c>
      <c r="C738">
        <f>IF(OR(Data!C739="",Data!C738=""),"",Data!C739/Data!C738-1)</f>
        <v>2.9203987137179643E-2</v>
      </c>
      <c r="D738">
        <f>IF(OR(Data!D739="",Data!D738=""),"",Data!D739/Data!D738-1)</f>
        <v>-4.5334217891170425E-2</v>
      </c>
    </row>
    <row r="739" spans="1:4" x14ac:dyDescent="0.35">
      <c r="A739" t="str">
        <f>Data!A740</f>
        <v>2024-10-31</v>
      </c>
      <c r="B739">
        <f>IF(OR(Data!B740="",Data!B739=""),"",Data!B740/Data!B739-1)</f>
        <v>3.4284467493499449E-2</v>
      </c>
      <c r="C739">
        <f>IF(OR(Data!C740="",Data!C739=""),"",Data!C740/Data!C739-1)</f>
        <v>-1.700447277613315E-3</v>
      </c>
      <c r="D739">
        <f>IF(OR(Data!D740="",Data!D739=""),"",Data!D740/Data!D739-1)</f>
        <v>3.4161829920209552E-3</v>
      </c>
    </row>
    <row r="740" spans="1:4" x14ac:dyDescent="0.35">
      <c r="A740" t="str">
        <f>Data!A741</f>
        <v>2024-11-01</v>
      </c>
      <c r="B740">
        <f>IF(OR(Data!B741="",Data!B740=""),"",Data!B741/Data!B740-1)</f>
        <v>2.0902961928522368E-2</v>
      </c>
      <c r="C740">
        <f>IF(OR(Data!C741="",Data!C740=""),"",Data!C741/Data!C740-1)</f>
        <v>-1.4228229879349241E-2</v>
      </c>
      <c r="D740">
        <f>IF(OR(Data!D741="",Data!D740=""),"",Data!D741/Data!D740-1)</f>
        <v>-7.3266935700289082E-3</v>
      </c>
    </row>
    <row r="741" spans="1:4" x14ac:dyDescent="0.35">
      <c r="A741" t="str">
        <f>Data!A742</f>
        <v>2024-11-04</v>
      </c>
      <c r="B741">
        <f>IF(OR(Data!B742="",Data!B741=""),"",Data!B742/Data!B741-1)</f>
        <v>-3.5762681906557514E-2</v>
      </c>
      <c r="C741">
        <f>IF(OR(Data!C742="",Data!C741=""),"",Data!C742/Data!C741-1)</f>
        <v>1.7037070522582187E-2</v>
      </c>
      <c r="D741">
        <f>IF(OR(Data!D742="",Data!D741=""),"",Data!D742/Data!D741-1)</f>
        <v>2.1144832667403524E-2</v>
      </c>
    </row>
    <row r="742" spans="1:4" x14ac:dyDescent="0.35">
      <c r="A742" t="str">
        <f>Data!A743</f>
        <v>2024-11-05</v>
      </c>
      <c r="B742">
        <f>IF(OR(Data!B743="",Data!B742=""),"",Data!B743/Data!B742-1)</f>
        <v>-2.4876599950055422E-2</v>
      </c>
      <c r="C742">
        <f>IF(OR(Data!C743="",Data!C742=""),"",Data!C743/Data!C742-1)</f>
        <v>-1.5169889494209832E-3</v>
      </c>
      <c r="D742">
        <f>IF(OR(Data!D743="",Data!D742=""),"",Data!D743/Data!D742-1)</f>
        <v>-8.4753288314364239E-3</v>
      </c>
    </row>
    <row r="743" spans="1:4" x14ac:dyDescent="0.35">
      <c r="A743" t="str">
        <f>Data!A744</f>
        <v>2024-11-06</v>
      </c>
      <c r="B743">
        <f>IF(OR(Data!B744="",Data!B743=""),"",Data!B744/Data!B743-1)</f>
        <v>-1.2023662276758662E-2</v>
      </c>
      <c r="C743">
        <f>IF(OR(Data!C744="",Data!C743=""),"",Data!C744/Data!C743-1)</f>
        <v>-3.1786459062343231E-2</v>
      </c>
      <c r="D743">
        <f>IF(OR(Data!D744="",Data!D743=""),"",Data!D744/Data!D743-1)</f>
        <v>-9.2900122223008585E-3</v>
      </c>
    </row>
    <row r="744" spans="1:4" x14ac:dyDescent="0.35">
      <c r="A744" t="str">
        <f>Data!A745</f>
        <v>2024-11-07</v>
      </c>
      <c r="B744">
        <f>IF(OR(Data!B745="",Data!B744=""),"",Data!B745/Data!B744-1)</f>
        <v>9.2194109504184496E-4</v>
      </c>
      <c r="C744">
        <f>IF(OR(Data!C745="",Data!C744=""),"",Data!C745/Data!C744-1)</f>
        <v>1.3083830390334894E-2</v>
      </c>
      <c r="D744">
        <f>IF(OR(Data!D745="",Data!D744=""),"",Data!D745/Data!D744-1)</f>
        <v>2.2761275829259464E-2</v>
      </c>
    </row>
    <row r="745" spans="1:4" x14ac:dyDescent="0.35">
      <c r="A745" t="str">
        <f>Data!A746</f>
        <v>2024-11-08</v>
      </c>
      <c r="B745">
        <f>IF(OR(Data!B746="",Data!B745=""),"",Data!B746/Data!B745-1)</f>
        <v>1.0811580228206719E-2</v>
      </c>
      <c r="C745">
        <f>IF(OR(Data!C746="",Data!C745=""),"",Data!C746/Data!C745-1)</f>
        <v>-7.7126963594601472E-3</v>
      </c>
      <c r="D745">
        <f>IF(OR(Data!D746="",Data!D745=""),"",Data!D746/Data!D745-1)</f>
        <v>1.0658349984559612E-2</v>
      </c>
    </row>
    <row r="746" spans="1:4" x14ac:dyDescent="0.35">
      <c r="A746" t="str">
        <f>Data!A747</f>
        <v>2024-11-11</v>
      </c>
      <c r="B746">
        <f>IF(OR(Data!B747="",Data!B746=""),"",Data!B747/Data!B746-1)</f>
        <v>-1.4015651886348457E-2</v>
      </c>
      <c r="C746">
        <f>IF(OR(Data!C747="",Data!C746=""),"",Data!C747/Data!C746-1)</f>
        <v>-1.0699076084037529E-3</v>
      </c>
      <c r="D746">
        <f>IF(OR(Data!D747="",Data!D746=""),"",Data!D747/Data!D746-1)</f>
        <v>1.0085158519910653E-2</v>
      </c>
    </row>
    <row r="747" spans="1:4" x14ac:dyDescent="0.35">
      <c r="A747" t="str">
        <f>Data!A748</f>
        <v>2024-11-12</v>
      </c>
      <c r="B747">
        <f>IF(OR(Data!B748="",Data!B747=""),"",Data!B748/Data!B747-1)</f>
        <v>4.143665499216187E-3</v>
      </c>
      <c r="C747">
        <f>IF(OR(Data!C748="",Data!C747=""),"",Data!C748/Data!C747-1)</f>
        <v>5.2812369734422937E-3</v>
      </c>
      <c r="D747">
        <f>IF(OR(Data!D748="",Data!D747=""),"",Data!D748/Data!D747-1)</f>
        <v>1.4735478410603076E-2</v>
      </c>
    </row>
    <row r="748" spans="1:4" x14ac:dyDescent="0.35">
      <c r="A748" t="str">
        <f>Data!A749</f>
        <v>2024-11-13</v>
      </c>
      <c r="B748">
        <f>IF(OR(Data!B749="",Data!B748=""),"",Data!B749/Data!B748-1)</f>
        <v>-1.4600355304982271E-2</v>
      </c>
      <c r="C748">
        <f>IF(OR(Data!C749="",Data!C748=""),"",Data!C749/Data!C748-1)</f>
        <v>3.1498293209888395E-3</v>
      </c>
      <c r="D748">
        <f>IF(OR(Data!D749="",Data!D748=""),"",Data!D749/Data!D748-1)</f>
        <v>-4.4496683200446197E-2</v>
      </c>
    </row>
    <row r="749" spans="1:4" x14ac:dyDescent="0.35">
      <c r="A749" t="str">
        <f>Data!A750</f>
        <v>2024-11-14</v>
      </c>
      <c r="B749">
        <f>IF(OR(Data!B750="",Data!B749=""),"",Data!B750/Data!B749-1)</f>
        <v>-1.1760411302435991E-2</v>
      </c>
      <c r="C749">
        <f>IF(OR(Data!C750="",Data!C749=""),"",Data!C750/Data!C749-1)</f>
        <v>1.0989221974558872E-2</v>
      </c>
      <c r="D749">
        <f>IF(OR(Data!D750="",Data!D749=""),"",Data!D750/Data!D749-1)</f>
        <v>2.3526089278807616E-2</v>
      </c>
    </row>
    <row r="750" spans="1:4" x14ac:dyDescent="0.35">
      <c r="A750" t="str">
        <f>Data!A751</f>
        <v>2024-11-15</v>
      </c>
      <c r="B750">
        <f>IF(OR(Data!B751="",Data!B750=""),"",Data!B751/Data!B750-1)</f>
        <v>-2.7352274911705998E-2</v>
      </c>
      <c r="C750">
        <f>IF(OR(Data!C751="",Data!C750=""),"",Data!C751/Data!C750-1)</f>
        <v>-6.2252460841139001E-3</v>
      </c>
      <c r="D750">
        <f>IF(OR(Data!D751="",Data!D750=""),"",Data!D751/Data!D750-1)</f>
        <v>1.9104187058480271E-2</v>
      </c>
    </row>
    <row r="751" spans="1:4" x14ac:dyDescent="0.35">
      <c r="A751" t="str">
        <f>Data!A752</f>
        <v>2024-11-18</v>
      </c>
      <c r="B751">
        <f>IF(OR(Data!B752="",Data!B751=""),"",Data!B752/Data!B751-1)</f>
        <v>-1.7902520923734788E-2</v>
      </c>
      <c r="C751">
        <f>IF(OR(Data!C752="",Data!C751=""),"",Data!C752/Data!C751-1)</f>
        <v>8.0160631518741976E-3</v>
      </c>
      <c r="D751">
        <f>IF(OR(Data!D752="",Data!D751=""),"",Data!D752/Data!D751-1)</f>
        <v>-2.9506402029643719E-2</v>
      </c>
    </row>
    <row r="752" spans="1:4" x14ac:dyDescent="0.35">
      <c r="A752" t="str">
        <f>Data!A753</f>
        <v>2024-11-19</v>
      </c>
      <c r="B752">
        <f>IF(OR(Data!B753="",Data!B752=""),"",Data!B753/Data!B752-1)</f>
        <v>-2.6281367080915774E-2</v>
      </c>
      <c r="C752">
        <f>IF(OR(Data!C753="",Data!C752=""),"",Data!C753/Data!C752-1)</f>
        <v>-3.599340618998248E-3</v>
      </c>
      <c r="D752">
        <f>IF(OR(Data!D753="",Data!D752=""),"",Data!D753/Data!D752-1)</f>
        <v>-6.7495334265101903E-3</v>
      </c>
    </row>
    <row r="753" spans="1:4" x14ac:dyDescent="0.35">
      <c r="A753" t="str">
        <f>Data!A754</f>
        <v>2024-11-20</v>
      </c>
      <c r="B753">
        <f>IF(OR(Data!B754="",Data!B753=""),"",Data!B754/Data!B753-1)</f>
        <v>-1.8936661668760291E-2</v>
      </c>
      <c r="C753">
        <f>IF(OR(Data!C754="",Data!C753=""),"",Data!C754/Data!C753-1)</f>
        <v>1.1434682921686257E-2</v>
      </c>
      <c r="D753">
        <f>IF(OR(Data!D754="",Data!D753=""),"",Data!D754/Data!D753-1)</f>
        <v>-6.289158057698474E-4</v>
      </c>
    </row>
    <row r="754" spans="1:4" x14ac:dyDescent="0.35">
      <c r="A754" t="str">
        <f>Data!A755</f>
        <v>2024-11-21</v>
      </c>
      <c r="B754">
        <f>IF(OR(Data!B755="",Data!B754=""),"",Data!B755/Data!B754-1)</f>
        <v>2.1705142979880021E-2</v>
      </c>
      <c r="C754">
        <f>IF(OR(Data!C755="",Data!C754=""),"",Data!C755/Data!C754-1)</f>
        <v>9.5634767386405528E-3</v>
      </c>
      <c r="D754">
        <f>IF(OR(Data!D755="",Data!D754=""),"",Data!D755/Data!D754-1)</f>
        <v>-3.4789877692487092E-3</v>
      </c>
    </row>
    <row r="755" spans="1:4" x14ac:dyDescent="0.35">
      <c r="A755" t="str">
        <f>Data!A756</f>
        <v>2024-11-22</v>
      </c>
      <c r="B755">
        <f>IF(OR(Data!B756="",Data!B755=""),"",Data!B756/Data!B755-1)</f>
        <v>-1.8416081551879127E-2</v>
      </c>
      <c r="C755">
        <f>IF(OR(Data!C756="",Data!C755=""),"",Data!C756/Data!C755-1)</f>
        <v>-1.3650219937138219E-2</v>
      </c>
      <c r="D755">
        <f>IF(OR(Data!D756="",Data!D755=""),"",Data!D756/Data!D755-1)</f>
        <v>1.0621941217306752E-2</v>
      </c>
    </row>
    <row r="756" spans="1:4" x14ac:dyDescent="0.35">
      <c r="A756" t="str">
        <f>Data!A757</f>
        <v>2024-11-25</v>
      </c>
      <c r="B756">
        <f>IF(OR(Data!B757="",Data!B756=""),"",Data!B757/Data!B756-1)</f>
        <v>5.4479780392221455E-2</v>
      </c>
      <c r="C756">
        <f>IF(OR(Data!C757="",Data!C756=""),"",Data!C757/Data!C756-1)</f>
        <v>1.67154536881855E-2</v>
      </c>
      <c r="D756">
        <f>IF(OR(Data!D757="",Data!D756=""),"",Data!D757/Data!D756-1)</f>
        <v>4.4450517283646684E-2</v>
      </c>
    </row>
    <row r="757" spans="1:4" x14ac:dyDescent="0.35">
      <c r="A757" t="str">
        <f>Data!A758</f>
        <v>2024-11-26</v>
      </c>
      <c r="B757">
        <f>IF(OR(Data!B758="",Data!B757=""),"",Data!B758/Data!B757-1)</f>
        <v>1.0319345061400531E-2</v>
      </c>
      <c r="C757">
        <f>IF(OR(Data!C758="",Data!C757=""),"",Data!C758/Data!C757-1)</f>
        <v>-7.7220364176886491E-3</v>
      </c>
      <c r="D757">
        <f>IF(OR(Data!D758="",Data!D757=""),"",Data!D758/Data!D757-1)</f>
        <v>3.3553705043378956E-2</v>
      </c>
    </row>
    <row r="758" spans="1:4" x14ac:dyDescent="0.35">
      <c r="A758" t="str">
        <f>Data!A759</f>
        <v>2024-11-27</v>
      </c>
      <c r="B758">
        <f>IF(OR(Data!B759="",Data!B758=""),"",Data!B759/Data!B758-1)</f>
        <v>4.1047141874077653E-3</v>
      </c>
      <c r="C758">
        <f>IF(OR(Data!C759="",Data!C758=""),"",Data!C759/Data!C758-1)</f>
        <v>1.2485642293408761E-2</v>
      </c>
      <c r="D758">
        <f>IF(OR(Data!D759="",Data!D758=""),"",Data!D759/Data!D758-1)</f>
        <v>-3.8072858045698488E-2</v>
      </c>
    </row>
    <row r="759" spans="1:4" x14ac:dyDescent="0.35">
      <c r="A759" t="str">
        <f>Data!A760</f>
        <v>2024-11-28</v>
      </c>
      <c r="B759">
        <f>IF(OR(Data!B760="",Data!B759=""),"",Data!B760/Data!B759-1)</f>
        <v>-1.6627025799129891E-2</v>
      </c>
      <c r="C759">
        <f>IF(OR(Data!C760="",Data!C759=""),"",Data!C760/Data!C759-1)</f>
        <v>5.8136865757147937E-3</v>
      </c>
      <c r="D759">
        <f>IF(OR(Data!D760="",Data!D759=""),"",Data!D760/Data!D759-1)</f>
        <v>1.9397782814622566E-2</v>
      </c>
    </row>
    <row r="760" spans="1:4" x14ac:dyDescent="0.35">
      <c r="A760" t="str">
        <f>Data!A761</f>
        <v>2024-11-29</v>
      </c>
      <c r="B760">
        <f>IF(OR(Data!B761="",Data!B760=""),"",Data!B761/Data!B760-1)</f>
        <v>1.4510046131845256E-2</v>
      </c>
      <c r="C760">
        <f>IF(OR(Data!C761="",Data!C760=""),"",Data!C761/Data!C760-1)</f>
        <v>2.8252102472737572E-2</v>
      </c>
      <c r="D760">
        <f>IF(OR(Data!D761="",Data!D760=""),"",Data!D761/Data!D760-1)</f>
        <v>4.1245976102405324E-2</v>
      </c>
    </row>
    <row r="761" spans="1:4" x14ac:dyDescent="0.35">
      <c r="A761" t="str">
        <f>Data!A762</f>
        <v>2024-12-02</v>
      </c>
      <c r="B761">
        <f>IF(OR(Data!B762="",Data!B761=""),"",Data!B762/Data!B761-1)</f>
        <v>-1.1051067044490881E-2</v>
      </c>
      <c r="C761">
        <f>IF(OR(Data!C762="",Data!C761=""),"",Data!C762/Data!C761-1)</f>
        <v>-3.0599317453244845E-3</v>
      </c>
      <c r="D761">
        <f>IF(OR(Data!D762="",Data!D761=""),"",Data!D762/Data!D761-1)</f>
        <v>1.2228302681264847E-2</v>
      </c>
    </row>
    <row r="762" spans="1:4" x14ac:dyDescent="0.35">
      <c r="A762" t="str">
        <f>Data!A763</f>
        <v>2024-12-03</v>
      </c>
      <c r="B762">
        <f>IF(OR(Data!B763="",Data!B762=""),"",Data!B763/Data!B762-1)</f>
        <v>2.8448586204776749E-3</v>
      </c>
      <c r="C762">
        <f>IF(OR(Data!C763="",Data!C762=""),"",Data!C763/Data!C762-1)</f>
        <v>-4.9400389843144987E-3</v>
      </c>
      <c r="D762">
        <f>IF(OR(Data!D763="",Data!D762=""),"",Data!D763/Data!D762-1)</f>
        <v>3.3839508452276679E-2</v>
      </c>
    </row>
    <row r="763" spans="1:4" x14ac:dyDescent="0.35">
      <c r="A763" t="str">
        <f>Data!A764</f>
        <v>2024-12-04</v>
      </c>
      <c r="B763">
        <f>IF(OR(Data!B764="",Data!B763=""),"",Data!B764/Data!B763-1)</f>
        <v>5.2956301201549039E-2</v>
      </c>
      <c r="C763">
        <f>IF(OR(Data!C764="",Data!C763=""),"",Data!C764/Data!C763-1)</f>
        <v>-3.6051939392711674E-6</v>
      </c>
      <c r="D763">
        <f>IF(OR(Data!D764="",Data!D763=""),"",Data!D764/Data!D763-1)</f>
        <v>6.2811667561613937E-2</v>
      </c>
    </row>
    <row r="764" spans="1:4" x14ac:dyDescent="0.35">
      <c r="A764" t="str">
        <f>Data!A765</f>
        <v>2024-12-05</v>
      </c>
      <c r="B764">
        <f>IF(OR(Data!B765="",Data!B764=""),"",Data!B765/Data!B764-1)</f>
        <v>-1.5207537616943601E-3</v>
      </c>
      <c r="C764">
        <f>IF(OR(Data!C765="",Data!C764=""),"",Data!C765/Data!C764-1)</f>
        <v>-4.2511751914259266E-3</v>
      </c>
      <c r="D764">
        <f>IF(OR(Data!D765="",Data!D764=""),"",Data!D765/Data!D764-1)</f>
        <v>3.1755268906506373E-2</v>
      </c>
    </row>
    <row r="765" spans="1:4" x14ac:dyDescent="0.35">
      <c r="A765" t="str">
        <f>Data!A766</f>
        <v>2024-12-06</v>
      </c>
      <c r="B765">
        <f>IF(OR(Data!B766="",Data!B765=""),"",Data!B766/Data!B765-1)</f>
        <v>2.3661252951757694E-2</v>
      </c>
      <c r="C765">
        <f>IF(OR(Data!C766="",Data!C765=""),"",Data!C766/Data!C765-1)</f>
        <v>1.2362427896841055E-2</v>
      </c>
      <c r="D765">
        <f>IF(OR(Data!D766="",Data!D765=""),"",Data!D766/Data!D765-1)</f>
        <v>8.0614672982408653E-3</v>
      </c>
    </row>
    <row r="766" spans="1:4" x14ac:dyDescent="0.35">
      <c r="A766" t="str">
        <f>Data!A767</f>
        <v>2024-12-09</v>
      </c>
      <c r="B766">
        <f>IF(OR(Data!B767="",Data!B766=""),"",Data!B767/Data!B766-1)</f>
        <v>-1.3570668626382232E-2</v>
      </c>
      <c r="C766">
        <f>IF(OR(Data!C767="",Data!C766=""),"",Data!C767/Data!C766-1)</f>
        <v>-2.3672519176791695E-2</v>
      </c>
      <c r="D766">
        <f>IF(OR(Data!D767="",Data!D766=""),"",Data!D767/Data!D766-1)</f>
        <v>3.2417101013515692E-2</v>
      </c>
    </row>
    <row r="767" spans="1:4" x14ac:dyDescent="0.35">
      <c r="A767" t="str">
        <f>Data!A768</f>
        <v>2024-12-10</v>
      </c>
      <c r="B767">
        <f>IF(OR(Data!B768="",Data!B767=""),"",Data!B768/Data!B767-1)</f>
        <v>-2.996508655052077E-4</v>
      </c>
      <c r="C767">
        <f>IF(OR(Data!C768="",Data!C767=""),"",Data!C768/Data!C767-1)</f>
        <v>-1.5397951723348791E-2</v>
      </c>
      <c r="D767">
        <f>IF(OR(Data!D768="",Data!D767=""),"",Data!D768/Data!D767-1)</f>
        <v>4.9085648601558951E-3</v>
      </c>
    </row>
    <row r="768" spans="1:4" x14ac:dyDescent="0.35">
      <c r="A768" t="str">
        <f>Data!A769</f>
        <v>2024-12-11</v>
      </c>
      <c r="B768">
        <f>IF(OR(Data!B769="",Data!B768=""),"",Data!B769/Data!B768-1)</f>
        <v>3.6465699857829437E-2</v>
      </c>
      <c r="C768">
        <f>IF(OR(Data!C769="",Data!C768=""),"",Data!C769/Data!C768-1)</f>
        <v>-1.5606586135605505E-2</v>
      </c>
      <c r="D768">
        <f>IF(OR(Data!D769="",Data!D768=""),"",Data!D769/Data!D768-1)</f>
        <v>1.2678958432528198E-3</v>
      </c>
    </row>
    <row r="769" spans="1:4" x14ac:dyDescent="0.35">
      <c r="A769" t="str">
        <f>Data!A770</f>
        <v>2024-12-12</v>
      </c>
      <c r="B769">
        <f>IF(OR(Data!B770="",Data!B769=""),"",Data!B770/Data!B769-1)</f>
        <v>-1.2066594441619394E-2</v>
      </c>
      <c r="C769">
        <f>IF(OR(Data!C770="",Data!C769=""),"",Data!C770/Data!C769-1)</f>
        <v>1.4648394078927485E-2</v>
      </c>
      <c r="D769">
        <f>IF(OR(Data!D770="",Data!D769=""),"",Data!D770/Data!D769-1)</f>
        <v>-9.9427316976076208E-3</v>
      </c>
    </row>
    <row r="770" spans="1:4" x14ac:dyDescent="0.35">
      <c r="A770" t="str">
        <f>Data!A771</f>
        <v>2024-12-13</v>
      </c>
      <c r="B770">
        <f>IF(OR(Data!B771="",Data!B770=""),"",Data!B771/Data!B770-1)</f>
        <v>3.7329432691094011E-2</v>
      </c>
      <c r="C770">
        <f>IF(OR(Data!C771="",Data!C770=""),"",Data!C771/Data!C770-1)</f>
        <v>2.6286406160919595E-2</v>
      </c>
      <c r="D770">
        <f>IF(OR(Data!D771="",Data!D770=""),"",Data!D771/Data!D770-1)</f>
        <v>4.859638324033777E-2</v>
      </c>
    </row>
    <row r="771" spans="1:4" x14ac:dyDescent="0.35">
      <c r="A771" t="str">
        <f>Data!A772</f>
        <v>2024-12-16</v>
      </c>
      <c r="B771">
        <f>IF(OR(Data!B772="",Data!B771=""),"",Data!B772/Data!B771-1)</f>
        <v>1.4661096445316213E-2</v>
      </c>
      <c r="C771">
        <f>IF(OR(Data!C772="",Data!C771=""),"",Data!C772/Data!C771-1)</f>
        <v>-1.2786175814721856E-3</v>
      </c>
      <c r="D771">
        <f>IF(OR(Data!D772="",Data!D771=""),"",Data!D772/Data!D771-1)</f>
        <v>-2.371720013420664E-2</v>
      </c>
    </row>
    <row r="772" spans="1:4" x14ac:dyDescent="0.35">
      <c r="A772" t="str">
        <f>Data!A773</f>
        <v>2024-12-17</v>
      </c>
      <c r="B772">
        <f>IF(OR(Data!B773="",Data!B772=""),"",Data!B773/Data!B772-1)</f>
        <v>-1.0790375668710661E-2</v>
      </c>
      <c r="C772">
        <f>IF(OR(Data!C773="",Data!C772=""),"",Data!C773/Data!C772-1)</f>
        <v>-2.2422090237316228E-3</v>
      </c>
      <c r="D772">
        <f>IF(OR(Data!D773="",Data!D772=""),"",Data!D773/Data!D772-1)</f>
        <v>4.7620241010978281E-2</v>
      </c>
    </row>
    <row r="773" spans="1:4" x14ac:dyDescent="0.35">
      <c r="A773" t="str">
        <f>Data!A774</f>
        <v>2024-12-18</v>
      </c>
      <c r="B773">
        <f>IF(OR(Data!B774="",Data!B773=""),"",Data!B774/Data!B773-1)</f>
        <v>1.3133198576541938E-2</v>
      </c>
      <c r="C773">
        <f>IF(OR(Data!C774="",Data!C773=""),"",Data!C774/Data!C773-1)</f>
        <v>1.339264576419863E-3</v>
      </c>
      <c r="D773">
        <f>IF(OR(Data!D774="",Data!D773=""),"",Data!D774/Data!D773-1)</f>
        <v>1.5667378315165514E-2</v>
      </c>
    </row>
    <row r="774" spans="1:4" x14ac:dyDescent="0.35">
      <c r="A774" t="str">
        <f>Data!A775</f>
        <v>2024-12-19</v>
      </c>
      <c r="B774">
        <f>IF(OR(Data!B775="",Data!B774=""),"",Data!B775/Data!B774-1)</f>
        <v>2.0049933891058469E-2</v>
      </c>
      <c r="C774">
        <f>IF(OR(Data!C775="",Data!C774=""),"",Data!C775/Data!C774-1)</f>
        <v>1.7873487987559278E-2</v>
      </c>
      <c r="D774">
        <f>IF(OR(Data!D775="",Data!D774=""),"",Data!D775/Data!D774-1)</f>
        <v>-4.0582663648273454E-2</v>
      </c>
    </row>
    <row r="775" spans="1:4" x14ac:dyDescent="0.35">
      <c r="A775" t="str">
        <f>Data!A776</f>
        <v>2024-12-20</v>
      </c>
      <c r="B775">
        <f>IF(OR(Data!B776="",Data!B775=""),"",Data!B776/Data!B775-1)</f>
        <v>1.2918641179915813E-2</v>
      </c>
      <c r="C775">
        <f>IF(OR(Data!C776="",Data!C775=""),"",Data!C776/Data!C775-1)</f>
        <v>-1.353043780955232E-2</v>
      </c>
      <c r="D775">
        <f>IF(OR(Data!D776="",Data!D775=""),"",Data!D776/Data!D775-1)</f>
        <v>1.1646639520217716E-2</v>
      </c>
    </row>
    <row r="776" spans="1:4" x14ac:dyDescent="0.35">
      <c r="A776" t="str">
        <f>Data!A777</f>
        <v>2024-12-23</v>
      </c>
      <c r="B776">
        <f>IF(OR(Data!B777="",Data!B776=""),"",Data!B777/Data!B776-1)</f>
        <v>-3.0528651873657053E-2</v>
      </c>
      <c r="C776">
        <f>IF(OR(Data!C777="",Data!C776=""),"",Data!C777/Data!C776-1)</f>
        <v>3.8705228700512961E-3</v>
      </c>
      <c r="D776">
        <f>IF(OR(Data!D777="",Data!D776=""),"",Data!D777/Data!D776-1)</f>
        <v>-6.0540626124447994E-2</v>
      </c>
    </row>
    <row r="777" spans="1:4" x14ac:dyDescent="0.35">
      <c r="A777" t="str">
        <f>Data!A778</f>
        <v>2024-12-24</v>
      </c>
      <c r="B777">
        <f>IF(OR(Data!B778="",Data!B777=""),"",Data!B778/Data!B777-1)</f>
        <v>-1.4043375527283186E-2</v>
      </c>
      <c r="C777">
        <f>IF(OR(Data!C778="",Data!C777=""),"",Data!C778/Data!C777-1)</f>
        <v>1.5027159435117676E-2</v>
      </c>
      <c r="D777">
        <f>IF(OR(Data!D778="",Data!D777=""),"",Data!D778/Data!D777-1)</f>
        <v>1.9502864749240123E-2</v>
      </c>
    </row>
    <row r="778" spans="1:4" x14ac:dyDescent="0.35">
      <c r="A778" t="str">
        <f>Data!A779</f>
        <v>2024-12-25</v>
      </c>
      <c r="B778">
        <f>IF(OR(Data!B779="",Data!B778=""),"",Data!B779/Data!B778-1)</f>
        <v>-4.5404277660391346E-3</v>
      </c>
      <c r="C778">
        <f>IF(OR(Data!C779="",Data!C778=""),"",Data!C779/Data!C778-1)</f>
        <v>7.8343926134243347E-3</v>
      </c>
      <c r="D778">
        <f>IF(OR(Data!D779="",Data!D778=""),"",Data!D779/Data!D778-1)</f>
        <v>2.747769310404613E-2</v>
      </c>
    </row>
    <row r="779" spans="1:4" x14ac:dyDescent="0.35">
      <c r="A779" t="str">
        <f>Data!A780</f>
        <v>2024-12-26</v>
      </c>
      <c r="B779">
        <f>IF(OR(Data!B780="",Data!B779=""),"",Data!B780/Data!B779-1)</f>
        <v>-1.0876292530834775E-3</v>
      </c>
      <c r="C779">
        <f>IF(OR(Data!C780="",Data!C779=""),"",Data!C780/Data!C779-1)</f>
        <v>3.1363300311433306E-3</v>
      </c>
      <c r="D779">
        <f>IF(OR(Data!D780="",Data!D779=""),"",Data!D780/Data!D779-1)</f>
        <v>-1.7073179605321842E-2</v>
      </c>
    </row>
    <row r="780" spans="1:4" x14ac:dyDescent="0.35">
      <c r="A780" t="str">
        <f>Data!A781</f>
        <v>2024-12-27</v>
      </c>
      <c r="B780">
        <f>IF(OR(Data!B781="",Data!B780=""),"",Data!B781/Data!B780-1)</f>
        <v>1.2895526618465158E-2</v>
      </c>
      <c r="C780">
        <f>IF(OR(Data!C781="",Data!C780=""),"",Data!C781/Data!C780-1)</f>
        <v>1.5420807613370835E-2</v>
      </c>
      <c r="D780">
        <f>IF(OR(Data!D781="",Data!D780=""),"",Data!D781/Data!D780-1)</f>
        <v>4.2654248686422314E-3</v>
      </c>
    </row>
    <row r="781" spans="1:4" x14ac:dyDescent="0.35">
      <c r="A781" t="str">
        <f>Data!A782</f>
        <v>2024-12-30</v>
      </c>
      <c r="B781">
        <f>IF(OR(Data!B782="",Data!B781=""),"",Data!B782/Data!B781-1)</f>
        <v>3.9619637826686649E-3</v>
      </c>
      <c r="C781">
        <f>IF(OR(Data!C782="",Data!C781=""),"",Data!C782/Data!C781-1)</f>
        <v>-3.9461249995671133E-2</v>
      </c>
      <c r="D781">
        <f>IF(OR(Data!D782="",Data!D781=""),"",Data!D782/Data!D781-1)</f>
        <v>6.0960739784745366E-2</v>
      </c>
    </row>
    <row r="782" spans="1:4" x14ac:dyDescent="0.35">
      <c r="A782" t="str">
        <f>Data!A783</f>
        <v>2024-12-31</v>
      </c>
      <c r="B782">
        <f>IF(OR(Data!B783="",Data!B782=""),"",Data!B783/Data!B782-1)</f>
        <v>-2.5963850814503919E-2</v>
      </c>
      <c r="C782">
        <f>IF(OR(Data!C783="",Data!C782=""),"",Data!C783/Data!C782-1)</f>
        <v>1.0510514968576468E-2</v>
      </c>
      <c r="D782">
        <f>IF(OR(Data!D783="",Data!D782=""),"",Data!D783/Data!D782-1)</f>
        <v>-1.4516013547378526E-2</v>
      </c>
    </row>
    <row r="783" spans="1:4" x14ac:dyDescent="0.35">
      <c r="A783" t="str">
        <f>Data!A784</f>
        <v>2025-01-01</v>
      </c>
      <c r="B783">
        <f>IF(OR(Data!B784="",Data!B783=""),"",Data!B784/Data!B783-1)</f>
        <v>8.0358669593347809E-3</v>
      </c>
      <c r="C783">
        <f>IF(OR(Data!C784="",Data!C783=""),"",Data!C784/Data!C783-1)</f>
        <v>-9.4786013711273265E-3</v>
      </c>
      <c r="D783">
        <f>IF(OR(Data!D784="",Data!D783=""),"",Data!D784/Data!D783-1)</f>
        <v>-3.0735146203594632E-2</v>
      </c>
    </row>
    <row r="784" spans="1:4" x14ac:dyDescent="0.35">
      <c r="A784" t="str">
        <f>Data!A785</f>
        <v>2025-01-02</v>
      </c>
      <c r="B784">
        <f>IF(OR(Data!B785="",Data!B784=""),"",Data!B785/Data!B784-1)</f>
        <v>1.2692057705805615E-2</v>
      </c>
      <c r="C784">
        <f>IF(OR(Data!C785="",Data!C784=""),"",Data!C785/Data!C784-1)</f>
        <v>-2.6806088725619515E-2</v>
      </c>
      <c r="D784">
        <f>IF(OR(Data!D785="",Data!D784=""),"",Data!D785/Data!D784-1)</f>
        <v>4.6027759947193214E-2</v>
      </c>
    </row>
    <row r="785" spans="1:4" x14ac:dyDescent="0.35">
      <c r="A785" t="str">
        <f>Data!A786</f>
        <v>2025-01-03</v>
      </c>
      <c r="B785">
        <f>IF(OR(Data!B786="",Data!B785=""),"",Data!B786/Data!B785-1)</f>
        <v>1.1662986107312756E-2</v>
      </c>
      <c r="C785">
        <f>IF(OR(Data!C786="",Data!C785=""),"",Data!C786/Data!C785-1)</f>
        <v>7.987315045552501E-3</v>
      </c>
      <c r="D785">
        <f>IF(OR(Data!D786="",Data!D785=""),"",Data!D786/Data!D785-1)</f>
        <v>6.1229023043288811E-2</v>
      </c>
    </row>
    <row r="786" spans="1:4" x14ac:dyDescent="0.35">
      <c r="A786" t="str">
        <f>Data!A787</f>
        <v>2025-01-06</v>
      </c>
      <c r="B786">
        <f>IF(OR(Data!B787="",Data!B786=""),"",Data!B787/Data!B786-1)</f>
        <v>2.225959844867087E-2</v>
      </c>
      <c r="C786">
        <f>IF(OR(Data!C787="",Data!C786=""),"",Data!C787/Data!C786-1)</f>
        <v>2.1112153862602234E-2</v>
      </c>
      <c r="D786">
        <f>IF(OR(Data!D787="",Data!D786=""),"",Data!D787/Data!D786-1)</f>
        <v>6.610653271599265E-4</v>
      </c>
    </row>
    <row r="787" spans="1:4" x14ac:dyDescent="0.35">
      <c r="A787" t="str">
        <f>Data!A788</f>
        <v>2025-01-07</v>
      </c>
      <c r="B787">
        <f>IF(OR(Data!B788="",Data!B787=""),"",Data!B788/Data!B787-1)</f>
        <v>1.7225720988770288E-2</v>
      </c>
      <c r="C787">
        <f>IF(OR(Data!C788="",Data!C787=""),"",Data!C788/Data!C787-1)</f>
        <v>-1.7727844900288225E-3</v>
      </c>
      <c r="D787">
        <f>IF(OR(Data!D788="",Data!D787=""),"",Data!D788/Data!D787-1)</f>
        <v>3.1376039189536797E-2</v>
      </c>
    </row>
    <row r="788" spans="1:4" x14ac:dyDescent="0.35">
      <c r="A788" t="str">
        <f>Data!A789</f>
        <v>2025-01-08</v>
      </c>
      <c r="B788">
        <f>IF(OR(Data!B789="",Data!B788=""),"",Data!B789/Data!B788-1)</f>
        <v>9.6291169288209577E-3</v>
      </c>
      <c r="C788">
        <f>IF(OR(Data!C789="",Data!C788=""),"",Data!C789/Data!C788-1)</f>
        <v>1.4687627802110859E-2</v>
      </c>
      <c r="D788">
        <f>IF(OR(Data!D789="",Data!D788=""),"",Data!D789/Data!D788-1)</f>
        <v>4.1637883615537996E-2</v>
      </c>
    </row>
    <row r="789" spans="1:4" x14ac:dyDescent="0.35">
      <c r="A789" t="str">
        <f>Data!A790</f>
        <v>2025-01-09</v>
      </c>
      <c r="B789">
        <f>IF(OR(Data!B790="",Data!B789=""),"",Data!B790/Data!B789-1)</f>
        <v>-1.0025691841131223E-3</v>
      </c>
      <c r="C789">
        <f>IF(OR(Data!C790="",Data!C789=""),"",Data!C790/Data!C789-1)</f>
        <v>2.4773395726950476E-2</v>
      </c>
      <c r="D789">
        <f>IF(OR(Data!D790="",Data!D789=""),"",Data!D790/Data!D789-1)</f>
        <v>-2.1490276974504896E-2</v>
      </c>
    </row>
    <row r="790" spans="1:4" x14ac:dyDescent="0.35">
      <c r="A790" t="str">
        <f>Data!A791</f>
        <v>2025-01-10</v>
      </c>
      <c r="B790">
        <f>IF(OR(Data!B791="",Data!B790=""),"",Data!B791/Data!B790-1)</f>
        <v>-3.2286774471814161E-2</v>
      </c>
      <c r="C790">
        <f>IF(OR(Data!C791="",Data!C790=""),"",Data!C791/Data!C790-1)</f>
        <v>2.0212946328135084E-2</v>
      </c>
      <c r="D790">
        <f>IF(OR(Data!D791="",Data!D790=""),"",Data!D791/Data!D790-1)</f>
        <v>-1.3911502489331928E-2</v>
      </c>
    </row>
    <row r="791" spans="1:4" x14ac:dyDescent="0.35">
      <c r="A791" t="str">
        <f>Data!A792</f>
        <v>2025-01-13</v>
      </c>
      <c r="B791">
        <f>IF(OR(Data!B792="",Data!B791=""),"",Data!B792/Data!B791-1)</f>
        <v>9.0330635260824632E-3</v>
      </c>
      <c r="C791">
        <f>IF(OR(Data!C792="",Data!C791=""),"",Data!C792/Data!C791-1)</f>
        <v>2.5199047607633585E-2</v>
      </c>
      <c r="D791">
        <f>IF(OR(Data!D792="",Data!D791=""),"",Data!D792/Data!D791-1)</f>
        <v>3.8187343493954584E-2</v>
      </c>
    </row>
    <row r="792" spans="1:4" x14ac:dyDescent="0.35">
      <c r="A792" t="str">
        <f>Data!A793</f>
        <v>2025-01-14</v>
      </c>
      <c r="B792">
        <f>IF(OR(Data!B793="",Data!B792=""),"",Data!B793/Data!B792-1)</f>
        <v>4.5639463907458655E-3</v>
      </c>
      <c r="C792">
        <f>IF(OR(Data!C793="",Data!C792=""),"",Data!C793/Data!C792-1)</f>
        <v>1.1484862625292358E-2</v>
      </c>
      <c r="D792">
        <f>IF(OR(Data!D793="",Data!D792=""),"",Data!D793/Data!D792-1)</f>
        <v>5.2428611726178742E-2</v>
      </c>
    </row>
    <row r="793" spans="1:4" x14ac:dyDescent="0.35">
      <c r="A793" t="str">
        <f>Data!A794</f>
        <v>2025-01-15</v>
      </c>
      <c r="B793">
        <f>IF(OR(Data!B794="",Data!B793=""),"",Data!B794/Data!B793-1)</f>
        <v>5.8487791299663972E-3</v>
      </c>
      <c r="C793">
        <f>IF(OR(Data!C794="",Data!C793=""),"",Data!C794/Data!C793-1)</f>
        <v>1.4200296218334074E-3</v>
      </c>
      <c r="D793">
        <f>IF(OR(Data!D794="",Data!D793=""),"",Data!D794/Data!D793-1)</f>
        <v>1.7589338638490215E-2</v>
      </c>
    </row>
    <row r="794" spans="1:4" x14ac:dyDescent="0.35">
      <c r="A794" t="str">
        <f>Data!A795</f>
        <v>2025-01-16</v>
      </c>
      <c r="B794">
        <f>IF(OR(Data!B795="",Data!B794=""),"",Data!B795/Data!B794-1)</f>
        <v>-2.4821548689615502E-2</v>
      </c>
      <c r="C794">
        <f>IF(OR(Data!C795="",Data!C794=""),"",Data!C795/Data!C794-1)</f>
        <v>-2.3462278793255353E-2</v>
      </c>
      <c r="D794">
        <f>IF(OR(Data!D795="",Data!D794=""),"",Data!D795/Data!D794-1)</f>
        <v>-2.5513444176084143E-2</v>
      </c>
    </row>
    <row r="795" spans="1:4" x14ac:dyDescent="0.35">
      <c r="A795" t="str">
        <f>Data!A796</f>
        <v>2025-01-17</v>
      </c>
      <c r="B795">
        <f>IF(OR(Data!B796="",Data!B795=""),"",Data!B796/Data!B795-1)</f>
        <v>-2.0997373130929975E-2</v>
      </c>
      <c r="C795">
        <f>IF(OR(Data!C796="",Data!C795=""),"",Data!C796/Data!C795-1)</f>
        <v>-3.3975879075889281E-3</v>
      </c>
      <c r="D795">
        <f>IF(OR(Data!D796="",Data!D795=""),"",Data!D796/Data!D795-1)</f>
        <v>6.2008401945986558E-2</v>
      </c>
    </row>
    <row r="796" spans="1:4" x14ac:dyDescent="0.35">
      <c r="A796" t="str">
        <f>Data!A797</f>
        <v>2025-01-20</v>
      </c>
      <c r="B796">
        <f>IF(OR(Data!B797="",Data!B796=""),"",Data!B797/Data!B796-1)</f>
        <v>2.1694834095058013E-2</v>
      </c>
      <c r="C796">
        <f>IF(OR(Data!C797="",Data!C796=""),"",Data!C797/Data!C796-1)</f>
        <v>-1.2285190019424519E-2</v>
      </c>
      <c r="D796">
        <f>IF(OR(Data!D797="",Data!D796=""),"",Data!D797/Data!D796-1)</f>
        <v>-1.5261419225523931E-2</v>
      </c>
    </row>
    <row r="797" spans="1:4" x14ac:dyDescent="0.35">
      <c r="A797" t="str">
        <f>Data!A798</f>
        <v>2025-01-21</v>
      </c>
      <c r="B797">
        <f>IF(OR(Data!B798="",Data!B797=""),"",Data!B798/Data!B797-1)</f>
        <v>-3.908384782573826E-4</v>
      </c>
      <c r="C797">
        <f>IF(OR(Data!C798="",Data!C797=""),"",Data!C798/Data!C797-1)</f>
        <v>3.3397166143397605E-2</v>
      </c>
      <c r="D797">
        <f>IF(OR(Data!D798="",Data!D797=""),"",Data!D798/Data!D797-1)</f>
        <v>-9.4591338410993098E-3</v>
      </c>
    </row>
    <row r="798" spans="1:4" x14ac:dyDescent="0.35">
      <c r="A798" t="str">
        <f>Data!A799</f>
        <v>2025-01-22</v>
      </c>
      <c r="B798">
        <f>IF(OR(Data!B799="",Data!B798=""),"",Data!B799/Data!B798-1)</f>
        <v>1.4128432685867276E-2</v>
      </c>
      <c r="C798">
        <f>IF(OR(Data!C799="",Data!C798=""),"",Data!C799/Data!C798-1)</f>
        <v>-2.3480296572836457E-3</v>
      </c>
      <c r="D798">
        <f>IF(OR(Data!D799="",Data!D798=""),"",Data!D799/Data!D798-1)</f>
        <v>1.0878943669843766E-2</v>
      </c>
    </row>
    <row r="799" spans="1:4" x14ac:dyDescent="0.35">
      <c r="A799" t="str">
        <f>Data!A800</f>
        <v>2025-01-23</v>
      </c>
      <c r="B799">
        <f>IF(OR(Data!B800="",Data!B799=""),"",Data!B800/Data!B799-1)</f>
        <v>9.6674991228251628E-4</v>
      </c>
      <c r="C799">
        <f>IF(OR(Data!C800="",Data!C799=""),"",Data!C800/Data!C799-1)</f>
        <v>2.1379200047202396E-3</v>
      </c>
      <c r="D799">
        <f>IF(OR(Data!D800="",Data!D799=""),"",Data!D800/Data!D799-1)</f>
        <v>4.8305215283714675E-2</v>
      </c>
    </row>
    <row r="800" spans="1:4" x14ac:dyDescent="0.35">
      <c r="A800" t="str">
        <f>Data!A801</f>
        <v>2025-01-24</v>
      </c>
      <c r="B800">
        <f>IF(OR(Data!B801="",Data!B800=""),"",Data!B801/Data!B800-1)</f>
        <v>9.9633303256374539E-4</v>
      </c>
      <c r="C800">
        <f>IF(OR(Data!C801="",Data!C800=""),"",Data!C801/Data!C800-1)</f>
        <v>8.5965751210630437E-3</v>
      </c>
      <c r="D800">
        <f>IF(OR(Data!D801="",Data!D800=""),"",Data!D801/Data!D800-1)</f>
        <v>2.6514745256894123E-2</v>
      </c>
    </row>
    <row r="801" spans="1:4" x14ac:dyDescent="0.35">
      <c r="A801" t="str">
        <f>Data!A802</f>
        <v>2025-01-27</v>
      </c>
      <c r="B801">
        <f>IF(OR(Data!B802="",Data!B801=""),"",Data!B802/Data!B801-1)</f>
        <v>1.934983117099276E-2</v>
      </c>
      <c r="C801">
        <f>IF(OR(Data!C802="",Data!C801=""),"",Data!C802/Data!C801-1)</f>
        <v>9.4189171413727735E-4</v>
      </c>
      <c r="D801">
        <f>IF(OR(Data!D802="",Data!D801=""),"",Data!D802/Data!D801-1)</f>
        <v>1.3080785180533017E-2</v>
      </c>
    </row>
    <row r="802" spans="1:4" x14ac:dyDescent="0.35">
      <c r="A802" t="str">
        <f>Data!A803</f>
        <v>2025-01-28</v>
      </c>
      <c r="B802">
        <f>IF(OR(Data!B803="",Data!B802=""),"",Data!B803/Data!B802-1)</f>
        <v>-9.8711703948953788E-3</v>
      </c>
      <c r="C802">
        <f>IF(OR(Data!C803="",Data!C802=""),"",Data!C803/Data!C802-1)</f>
        <v>2.6046760581754258E-2</v>
      </c>
      <c r="D802">
        <f>IF(OR(Data!D803="",Data!D802=""),"",Data!D803/Data!D802-1)</f>
        <v>1.4553500890815085E-2</v>
      </c>
    </row>
    <row r="803" spans="1:4" x14ac:dyDescent="0.35">
      <c r="A803" t="str">
        <f>Data!A804</f>
        <v>2025-01-29</v>
      </c>
      <c r="B803">
        <f>IF(OR(Data!B804="",Data!B803=""),"",Data!B804/Data!B803-1)</f>
        <v>2.3250384104835931E-3</v>
      </c>
      <c r="C803">
        <f>IF(OR(Data!C804="",Data!C803=""),"",Data!C804/Data!C803-1)</f>
        <v>-9.0114969693989577E-3</v>
      </c>
      <c r="D803">
        <f>IF(OR(Data!D804="",Data!D803=""),"",Data!D804/Data!D803-1)</f>
        <v>1.8571670470164392E-3</v>
      </c>
    </row>
    <row r="804" spans="1:4" x14ac:dyDescent="0.35">
      <c r="A804" t="str">
        <f>Data!A805</f>
        <v>2025-01-30</v>
      </c>
      <c r="B804">
        <f>IF(OR(Data!B805="",Data!B804=""),"",Data!B805/Data!B804-1)</f>
        <v>-8.80699542423935E-3</v>
      </c>
      <c r="C804">
        <f>IF(OR(Data!C805="",Data!C804=""),"",Data!C805/Data!C804-1)</f>
        <v>3.2118364938813482E-3</v>
      </c>
      <c r="D804">
        <f>IF(OR(Data!D805="",Data!D804=""),"",Data!D805/Data!D804-1)</f>
        <v>1.7444576334937567E-2</v>
      </c>
    </row>
    <row r="805" spans="1:4" x14ac:dyDescent="0.35">
      <c r="A805" t="str">
        <f>Data!A806</f>
        <v>2025-01-31</v>
      </c>
      <c r="B805">
        <f>IF(OR(Data!B806="",Data!B805=""),"",Data!B806/Data!B805-1)</f>
        <v>-8.2558109914779854E-3</v>
      </c>
      <c r="C805">
        <f>IF(OR(Data!C806="",Data!C805=""),"",Data!C806/Data!C805-1)</f>
        <v>-1.0790832456603394E-2</v>
      </c>
      <c r="D805">
        <f>IF(OR(Data!D806="",Data!D805=""),"",Data!D806/Data!D805-1)</f>
        <v>-7.2568876983429176E-2</v>
      </c>
    </row>
    <row r="806" spans="1:4" x14ac:dyDescent="0.35">
      <c r="A806" t="str">
        <f>Data!A807</f>
        <v>2025-02-03</v>
      </c>
      <c r="B806">
        <f>IF(OR(Data!B807="",Data!B806=""),"",Data!B807/Data!B806-1)</f>
        <v>-5.7659452123348665E-3</v>
      </c>
      <c r="C806">
        <f>IF(OR(Data!C807="",Data!C806=""),"",Data!C807/Data!C806-1)</f>
        <v>-1.9323805594583576E-2</v>
      </c>
      <c r="D806">
        <f>IF(OR(Data!D807="",Data!D806=""),"",Data!D807/Data!D806-1)</f>
        <v>-8.3135667712913586E-3</v>
      </c>
    </row>
    <row r="807" spans="1:4" x14ac:dyDescent="0.35">
      <c r="A807" t="str">
        <f>Data!A808</f>
        <v>2025-02-04</v>
      </c>
      <c r="B807">
        <f>IF(OR(Data!B808="",Data!B807=""),"",Data!B808/Data!B807-1)</f>
        <v>4.8543487047429945E-3</v>
      </c>
      <c r="C807">
        <f>IF(OR(Data!C808="",Data!C807=""),"",Data!C808/Data!C807-1)</f>
        <v>-8.8495901197575E-3</v>
      </c>
      <c r="D807">
        <f>IF(OR(Data!D808="",Data!D807=""),"",Data!D808/Data!D807-1)</f>
        <v>7.8200820339013877E-3</v>
      </c>
    </row>
    <row r="808" spans="1:4" x14ac:dyDescent="0.35">
      <c r="A808" t="str">
        <f>Data!A809</f>
        <v>2025-02-05</v>
      </c>
      <c r="B808">
        <f>IF(OR(Data!B809="",Data!B808=""),"",Data!B809/Data!B808-1)</f>
        <v>-9.1335069415648951E-3</v>
      </c>
      <c r="C808">
        <f>IF(OR(Data!C809="",Data!C808=""),"",Data!C809/Data!C808-1)</f>
        <v>-2.6797354299168408E-4</v>
      </c>
      <c r="D808">
        <f>IF(OR(Data!D809="",Data!D808=""),"",Data!D809/Data!D808-1)</f>
        <v>-3.3409592493718998E-2</v>
      </c>
    </row>
    <row r="809" spans="1:4" x14ac:dyDescent="0.35">
      <c r="A809" t="str">
        <f>Data!A810</f>
        <v>2025-02-06</v>
      </c>
      <c r="B809">
        <f>IF(OR(Data!B810="",Data!B809=""),"",Data!B810/Data!B809-1)</f>
        <v>2.5843532672060743E-2</v>
      </c>
      <c r="C809">
        <f>IF(OR(Data!C810="",Data!C809=""),"",Data!C810/Data!C809-1)</f>
        <v>-6.1331520277045914E-3</v>
      </c>
      <c r="D809">
        <f>IF(OR(Data!D810="",Data!D809=""),"",Data!D810/Data!D809-1)</f>
        <v>1.2213798895041261E-2</v>
      </c>
    </row>
    <row r="810" spans="1:4" x14ac:dyDescent="0.35">
      <c r="A810" t="str">
        <f>Data!A811</f>
        <v>2025-02-07</v>
      </c>
      <c r="B810">
        <f>IF(OR(Data!B811="",Data!B810=""),"",Data!B811/Data!B810-1)</f>
        <v>-1.7340271726537293E-2</v>
      </c>
      <c r="C810">
        <f>IF(OR(Data!C811="",Data!C810=""),"",Data!C811/Data!C810-1)</f>
        <v>-1.0047978946904235E-2</v>
      </c>
      <c r="D810">
        <f>IF(OR(Data!D811="",Data!D810=""),"",Data!D811/Data!D810-1)</f>
        <v>-5.5686989987807634E-3</v>
      </c>
    </row>
    <row r="811" spans="1:4" x14ac:dyDescent="0.35">
      <c r="A811" t="str">
        <f>Data!A812</f>
        <v>2025-02-10</v>
      </c>
      <c r="B811">
        <f>IF(OR(Data!B812="",Data!B811=""),"",Data!B812/Data!B811-1)</f>
        <v>-3.331974416945882E-3</v>
      </c>
      <c r="C811">
        <f>IF(OR(Data!C812="",Data!C811=""),"",Data!C812/Data!C811-1)</f>
        <v>-2.0592452860955568E-2</v>
      </c>
      <c r="D811">
        <f>IF(OR(Data!D812="",Data!D811=""),"",Data!D812/Data!D811-1)</f>
        <v>5.4655746975818209E-2</v>
      </c>
    </row>
    <row r="812" spans="1:4" x14ac:dyDescent="0.35">
      <c r="A812" t="str">
        <f>Data!A813</f>
        <v>2025-02-11</v>
      </c>
      <c r="B812">
        <f>IF(OR(Data!B813="",Data!B812=""),"",Data!B813/Data!B812-1)</f>
        <v>-8.3590335710918007E-3</v>
      </c>
      <c r="C812">
        <f>IF(OR(Data!C813="",Data!C812=""),"",Data!C813/Data!C812-1)</f>
        <v>-9.5855259978716578E-4</v>
      </c>
      <c r="D812">
        <f>IF(OR(Data!D813="",Data!D812=""),"",Data!D813/Data!D812-1)</f>
        <v>4.889848253896556E-2</v>
      </c>
    </row>
    <row r="813" spans="1:4" x14ac:dyDescent="0.35">
      <c r="A813" t="str">
        <f>Data!A814</f>
        <v>2025-02-12</v>
      </c>
      <c r="B813">
        <f>IF(OR(Data!B814="",Data!B813=""),"",Data!B814/Data!B813-1)</f>
        <v>2.9773746076764418E-2</v>
      </c>
      <c r="C813">
        <f>IF(OR(Data!C814="",Data!C813=""),"",Data!C814/Data!C813-1)</f>
        <v>-2.2036768051787448E-2</v>
      </c>
      <c r="D813">
        <f>IF(OR(Data!D814="",Data!D813=""),"",Data!D814/Data!D813-1)</f>
        <v>-1.3334473654793122E-2</v>
      </c>
    </row>
    <row r="814" spans="1:4" x14ac:dyDescent="0.35">
      <c r="A814" t="str">
        <f>Data!A815</f>
        <v>2025-02-13</v>
      </c>
      <c r="B814">
        <f>IF(OR(Data!B815="",Data!B814=""),"",Data!B815/Data!B814-1)</f>
        <v>4.3408917550793458E-3</v>
      </c>
      <c r="C814">
        <f>IF(OR(Data!C815="",Data!C814=""),"",Data!C815/Data!C814-1)</f>
        <v>1.1756899390542364E-2</v>
      </c>
      <c r="D814">
        <f>IF(OR(Data!D815="",Data!D814=""),"",Data!D815/Data!D814-1)</f>
        <v>-3.9672098981246018E-3</v>
      </c>
    </row>
    <row r="815" spans="1:4" x14ac:dyDescent="0.35">
      <c r="A815" t="str">
        <f>Data!A816</f>
        <v>2025-02-14</v>
      </c>
      <c r="B815">
        <f>IF(OR(Data!B816="",Data!B815=""),"",Data!B816/Data!B815-1)</f>
        <v>2.1259745302191657E-2</v>
      </c>
      <c r="C815">
        <f>IF(OR(Data!C816="",Data!C815=""),"",Data!C816/Data!C815-1)</f>
        <v>1.5250925479561861E-3</v>
      </c>
      <c r="D815">
        <f>IF(OR(Data!D816="",Data!D815=""),"",Data!D816/Data!D815-1)</f>
        <v>-1.6670500252121689E-3</v>
      </c>
    </row>
    <row r="816" spans="1:4" x14ac:dyDescent="0.35">
      <c r="A816" t="str">
        <f>Data!A817</f>
        <v>2025-02-17</v>
      </c>
      <c r="B816">
        <f>IF(OR(Data!B817="",Data!B816=""),"",Data!B817/Data!B816-1)</f>
        <v>-2.8886189938748696E-2</v>
      </c>
      <c r="C816">
        <f>IF(OR(Data!C817="",Data!C816=""),"",Data!C817/Data!C816-1)</f>
        <v>-2.1344623503532167E-2</v>
      </c>
      <c r="D816">
        <f>IF(OR(Data!D817="",Data!D816=""),"",Data!D817/Data!D816-1)</f>
        <v>-1.2915669823350684E-2</v>
      </c>
    </row>
    <row r="817" spans="1:4" x14ac:dyDescent="0.35">
      <c r="A817" t="str">
        <f>Data!A818</f>
        <v>2025-02-18</v>
      </c>
      <c r="B817">
        <f>IF(OR(Data!B818="",Data!B817=""),"",Data!B818/Data!B817-1)</f>
        <v>5.7577596663611619E-3</v>
      </c>
      <c r="C817">
        <f>IF(OR(Data!C818="",Data!C817=""),"",Data!C818/Data!C817-1)</f>
        <v>-4.3412422625256353E-3</v>
      </c>
      <c r="D817">
        <f>IF(OR(Data!D818="",Data!D817=""),"",Data!D818/Data!D817-1)</f>
        <v>6.4212962082166314E-3</v>
      </c>
    </row>
    <row r="818" spans="1:4" x14ac:dyDescent="0.35">
      <c r="A818" t="str">
        <f>Data!A819</f>
        <v>2025-02-19</v>
      </c>
      <c r="B818">
        <f>IF(OR(Data!B819="",Data!B818=""),"",Data!B819/Data!B818-1)</f>
        <v>1.8359255075973691E-2</v>
      </c>
      <c r="C818">
        <f>IF(OR(Data!C819="",Data!C818=""),"",Data!C819/Data!C818-1)</f>
        <v>-1.0934523771939264E-2</v>
      </c>
      <c r="D818">
        <f>IF(OR(Data!D819="",Data!D818=""),"",Data!D819/Data!D818-1)</f>
        <v>-2.1953982142083772E-2</v>
      </c>
    </row>
    <row r="819" spans="1:4" x14ac:dyDescent="0.35">
      <c r="A819" t="str">
        <f>Data!A820</f>
        <v>2025-02-20</v>
      </c>
      <c r="B819">
        <f>IF(OR(Data!B820="",Data!B819=""),"",Data!B820/Data!B819-1)</f>
        <v>2.0479218511102459E-3</v>
      </c>
      <c r="C819">
        <f>IF(OR(Data!C820="",Data!C819=""),"",Data!C820/Data!C819-1)</f>
        <v>5.0880589576436375E-3</v>
      </c>
      <c r="D819">
        <f>IF(OR(Data!D820="",Data!D819=""),"",Data!D820/Data!D819-1)</f>
        <v>-3.2817780988240397E-2</v>
      </c>
    </row>
    <row r="820" spans="1:4" x14ac:dyDescent="0.35">
      <c r="A820" t="str">
        <f>Data!A821</f>
        <v>2025-02-21</v>
      </c>
      <c r="B820">
        <f>IF(OR(Data!B821="",Data!B820=""),"",Data!B821/Data!B820-1)</f>
        <v>2.1946425536091718E-2</v>
      </c>
      <c r="C820">
        <f>IF(OR(Data!C821="",Data!C820=""),"",Data!C821/Data!C820-1)</f>
        <v>2.0603631306916448E-2</v>
      </c>
      <c r="D820">
        <f>IF(OR(Data!D821="",Data!D820=""),"",Data!D821/Data!D820-1)</f>
        <v>1.9417433738889045E-2</v>
      </c>
    </row>
    <row r="821" spans="1:4" x14ac:dyDescent="0.35">
      <c r="A821" t="str">
        <f>Data!A822</f>
        <v>2025-02-24</v>
      </c>
      <c r="B821">
        <f>IF(OR(Data!B822="",Data!B821=""),"",Data!B822/Data!B821-1)</f>
        <v>-9.8961578887363233E-3</v>
      </c>
      <c r="C821">
        <f>IF(OR(Data!C822="",Data!C821=""),"",Data!C822/Data!C821-1)</f>
        <v>-2.745608201039651E-2</v>
      </c>
      <c r="D821">
        <f>IF(OR(Data!D822="",Data!D821=""),"",Data!D822/Data!D821-1)</f>
        <v>1.962602370805544E-2</v>
      </c>
    </row>
    <row r="822" spans="1:4" x14ac:dyDescent="0.35">
      <c r="A822" t="str">
        <f>Data!A823</f>
        <v>2025-02-25</v>
      </c>
      <c r="B822">
        <f>IF(OR(Data!B823="",Data!B822=""),"",Data!B823/Data!B822-1)</f>
        <v>2.8999349330599333E-2</v>
      </c>
      <c r="C822">
        <f>IF(OR(Data!C823="",Data!C822=""),"",Data!C823/Data!C822-1)</f>
        <v>2.0148840332492313E-3</v>
      </c>
      <c r="D822">
        <f>IF(OR(Data!D823="",Data!D822=""),"",Data!D823/Data!D822-1)</f>
        <v>-2.3303655439915749E-2</v>
      </c>
    </row>
    <row r="823" spans="1:4" x14ac:dyDescent="0.35">
      <c r="A823" t="str">
        <f>Data!A824</f>
        <v>2025-02-26</v>
      </c>
      <c r="B823">
        <f>IF(OR(Data!B824="",Data!B823=""),"",Data!B824/Data!B823-1)</f>
        <v>4.7470134759568072E-2</v>
      </c>
      <c r="C823">
        <f>IF(OR(Data!C824="",Data!C823=""),"",Data!C824/Data!C823-1)</f>
        <v>-2.1123745810854855E-3</v>
      </c>
      <c r="D823">
        <f>IF(OR(Data!D824="",Data!D823=""),"",Data!D824/Data!D823-1)</f>
        <v>2.7789717570926076E-2</v>
      </c>
    </row>
    <row r="824" spans="1:4" x14ac:dyDescent="0.35">
      <c r="A824" t="str">
        <f>Data!A825</f>
        <v>2025-02-27</v>
      </c>
      <c r="B824">
        <f>IF(OR(Data!B825="",Data!B824=""),"",Data!B825/Data!B824-1)</f>
        <v>-6.8328762472303906E-3</v>
      </c>
      <c r="C824">
        <f>IF(OR(Data!C825="",Data!C824=""),"",Data!C825/Data!C824-1)</f>
        <v>1.0411435705091288E-2</v>
      </c>
      <c r="D824">
        <f>IF(OR(Data!D825="",Data!D824=""),"",Data!D825/Data!D824-1)</f>
        <v>-1.8229036764942363E-2</v>
      </c>
    </row>
    <row r="825" spans="1:4" x14ac:dyDescent="0.35">
      <c r="A825" t="str">
        <f>Data!A826</f>
        <v>2025-02-28</v>
      </c>
      <c r="B825">
        <f>IF(OR(Data!B826="",Data!B825=""),"",Data!B826/Data!B825-1)</f>
        <v>-8.4742391088125091E-3</v>
      </c>
      <c r="C825">
        <f>IF(OR(Data!C826="",Data!C825=""),"",Data!C826/Data!C825-1)</f>
        <v>3.4916526952000204E-3</v>
      </c>
      <c r="D825">
        <f>IF(OR(Data!D826="",Data!D825=""),"",Data!D826/Data!D825-1)</f>
        <v>8.1781224923336282E-3</v>
      </c>
    </row>
    <row r="826" spans="1:4" x14ac:dyDescent="0.35">
      <c r="A826" t="str">
        <f>Data!A827</f>
        <v>2025-03-03</v>
      </c>
      <c r="B826">
        <f>IF(OR(Data!B827="",Data!B826=""),"",Data!B827/Data!B826-1)</f>
        <v>2.9906642056549693E-2</v>
      </c>
      <c r="C826">
        <f>IF(OR(Data!C827="",Data!C826=""),"",Data!C827/Data!C826-1)</f>
        <v>-1.0931885426754606E-2</v>
      </c>
      <c r="D826">
        <f>IF(OR(Data!D827="",Data!D826=""),"",Data!D827/Data!D826-1)</f>
        <v>2.5479591590661821E-2</v>
      </c>
    </row>
    <row r="827" spans="1:4" x14ac:dyDescent="0.35">
      <c r="A827" t="str">
        <f>Data!A828</f>
        <v>2025-03-04</v>
      </c>
      <c r="B827">
        <f>IF(OR(Data!B828="",Data!B827=""),"",Data!B828/Data!B827-1)</f>
        <v>3.2508535131843486E-2</v>
      </c>
      <c r="C827">
        <f>IF(OR(Data!C828="",Data!C827=""),"",Data!C828/Data!C827-1)</f>
        <v>-4.4881768161705304E-3</v>
      </c>
      <c r="D827">
        <f>IF(OR(Data!D828="",Data!D827=""),"",Data!D828/Data!D827-1)</f>
        <v>-4.5834999633875828E-4</v>
      </c>
    </row>
    <row r="828" spans="1:4" x14ac:dyDescent="0.35">
      <c r="A828" t="str">
        <f>Data!A829</f>
        <v>2025-03-05</v>
      </c>
      <c r="B828">
        <f>IF(OR(Data!B829="",Data!B828=""),"",Data!B829/Data!B828-1)</f>
        <v>-1.0007029587154936E-2</v>
      </c>
      <c r="C828">
        <f>IF(OR(Data!C829="",Data!C828=""),"",Data!C829/Data!C828-1)</f>
        <v>-1.1585243248868116E-2</v>
      </c>
      <c r="D828">
        <f>IF(OR(Data!D829="",Data!D828=""),"",Data!D829/Data!D828-1)</f>
        <v>1.4293412300542041E-2</v>
      </c>
    </row>
    <row r="829" spans="1:4" x14ac:dyDescent="0.35">
      <c r="A829" t="str">
        <f>Data!A830</f>
        <v>2025-03-06</v>
      </c>
      <c r="B829">
        <f>IF(OR(Data!B830="",Data!B829=""),"",Data!B830/Data!B829-1)</f>
        <v>-7.9716369524264197E-3</v>
      </c>
      <c r="C829">
        <f>IF(OR(Data!C830="",Data!C829=""),"",Data!C830/Data!C829-1)</f>
        <v>1.656311119114684E-2</v>
      </c>
      <c r="D829">
        <f>IF(OR(Data!D830="",Data!D829=""),"",Data!D830/Data!D829-1)</f>
        <v>-1.4831736151351582E-2</v>
      </c>
    </row>
    <row r="830" spans="1:4" x14ac:dyDescent="0.35">
      <c r="A830" t="str">
        <f>Data!A831</f>
        <v>2025-03-07</v>
      </c>
      <c r="B830">
        <f>IF(OR(Data!B831="",Data!B830=""),"",Data!B831/Data!B830-1)</f>
        <v>-5.2224188337215427E-3</v>
      </c>
      <c r="C830">
        <f>IF(OR(Data!C831="",Data!C830=""),"",Data!C831/Data!C830-1)</f>
        <v>6.073601588323374E-4</v>
      </c>
      <c r="D830">
        <f>IF(OR(Data!D831="",Data!D830=""),"",Data!D831/Data!D830-1)</f>
        <v>-5.3297775166117889E-3</v>
      </c>
    </row>
    <row r="831" spans="1:4" x14ac:dyDescent="0.35">
      <c r="A831" t="str">
        <f>Data!A832</f>
        <v>2025-03-10</v>
      </c>
      <c r="B831">
        <f>IF(OR(Data!B832="",Data!B831=""),"",Data!B832/Data!B831-1)</f>
        <v>-2.6141177665453874E-2</v>
      </c>
      <c r="C831">
        <f>IF(OR(Data!C832="",Data!C831=""),"",Data!C832/Data!C831-1)</f>
        <v>2.9224430217549946E-2</v>
      </c>
      <c r="D831">
        <f>IF(OR(Data!D832="",Data!D831=""),"",Data!D832/Data!D831-1)</f>
        <v>-5.6099246297930394E-3</v>
      </c>
    </row>
    <row r="832" spans="1:4" x14ac:dyDescent="0.35">
      <c r="A832" t="str">
        <f>Data!A833</f>
        <v>2025-03-11</v>
      </c>
      <c r="B832">
        <f>IF(OR(Data!B833="",Data!B832=""),"",Data!B833/Data!B832-1)</f>
        <v>-1.7812263603581013E-2</v>
      </c>
      <c r="C832">
        <f>IF(OR(Data!C833="",Data!C832=""),"",Data!C833/Data!C832-1)</f>
        <v>-6.2238277614523607E-4</v>
      </c>
      <c r="D832">
        <f>IF(OR(Data!D833="",Data!D832=""),"",Data!D833/Data!D832-1)</f>
        <v>-2.1610423405224677E-2</v>
      </c>
    </row>
    <row r="833" spans="1:4" x14ac:dyDescent="0.35">
      <c r="A833" t="str">
        <f>Data!A834</f>
        <v>2025-03-12</v>
      </c>
      <c r="B833">
        <f>IF(OR(Data!B834="",Data!B833=""),"",Data!B834/Data!B833-1)</f>
        <v>-1.9490225724705268E-2</v>
      </c>
      <c r="C833">
        <f>IF(OR(Data!C834="",Data!C833=""),"",Data!C834/Data!C833-1)</f>
        <v>-1.0285216022183241E-2</v>
      </c>
      <c r="D833">
        <f>IF(OR(Data!D834="",Data!D833=""),"",Data!D834/Data!D833-1)</f>
        <v>-4.7419968513922051E-3</v>
      </c>
    </row>
    <row r="834" spans="1:4" x14ac:dyDescent="0.35">
      <c r="A834" t="str">
        <f>Data!A835</f>
        <v>2025-03-13</v>
      </c>
      <c r="B834">
        <f>IF(OR(Data!B835="",Data!B834=""),"",Data!B835/Data!B834-1)</f>
        <v>-1.4845127479271913E-2</v>
      </c>
      <c r="C834">
        <f>IF(OR(Data!C835="",Data!C834=""),"",Data!C835/Data!C834-1)</f>
        <v>-2.2168785574944616E-2</v>
      </c>
      <c r="D834">
        <f>IF(OR(Data!D835="",Data!D834=""),"",Data!D835/Data!D834-1)</f>
        <v>-4.4870647273772657E-2</v>
      </c>
    </row>
    <row r="835" spans="1:4" x14ac:dyDescent="0.35">
      <c r="A835" t="str">
        <f>Data!A836</f>
        <v>2025-03-14</v>
      </c>
      <c r="B835">
        <f>IF(OR(Data!B836="",Data!B835=""),"",Data!B836/Data!B835-1)</f>
        <v>-2.9338770682285631E-4</v>
      </c>
      <c r="C835">
        <f>IF(OR(Data!C836="",Data!C835=""),"",Data!C836/Data!C835-1)</f>
        <v>-2.6404754188033341E-2</v>
      </c>
      <c r="D835">
        <f>IF(OR(Data!D836="",Data!D835=""),"",Data!D836/Data!D835-1)</f>
        <v>-1.408449409079604E-2</v>
      </c>
    </row>
    <row r="836" spans="1:4" x14ac:dyDescent="0.35">
      <c r="A836" t="str">
        <f>Data!A837</f>
        <v>2025-03-17</v>
      </c>
      <c r="B836">
        <f>IF(OR(Data!B837="",Data!B836=""),"",Data!B837/Data!B836-1)</f>
        <v>5.097461954876259E-3</v>
      </c>
      <c r="C836">
        <f>IF(OR(Data!C837="",Data!C836=""),"",Data!C837/Data!C836-1)</f>
        <v>-2.3201163150242343E-2</v>
      </c>
      <c r="D836">
        <f>IF(OR(Data!D837="",Data!D836=""),"",Data!D837/Data!D836-1)</f>
        <v>-7.9643948723194802E-3</v>
      </c>
    </row>
    <row r="837" spans="1:4" x14ac:dyDescent="0.35">
      <c r="A837" t="str">
        <f>Data!A838</f>
        <v>2025-03-18</v>
      </c>
      <c r="B837">
        <f>IF(OR(Data!B838="",Data!B837=""),"",Data!B838/Data!B837-1)</f>
        <v>3.1908074668145936E-2</v>
      </c>
      <c r="C837">
        <f>IF(OR(Data!C838="",Data!C837=""),"",Data!C838/Data!C837-1)</f>
        <v>4.3035477271951006E-3</v>
      </c>
      <c r="D837">
        <f>IF(OR(Data!D838="",Data!D837=""),"",Data!D838/Data!D837-1)</f>
        <v>-7.1100953011319357E-3</v>
      </c>
    </row>
    <row r="838" spans="1:4" x14ac:dyDescent="0.35">
      <c r="A838" t="str">
        <f>Data!A839</f>
        <v>2025-03-19</v>
      </c>
      <c r="B838">
        <f>IF(OR(Data!B839="",Data!B838=""),"",Data!B839/Data!B838-1)</f>
        <v>-1.9376942528409602E-2</v>
      </c>
      <c r="C838">
        <f>IF(OR(Data!C839="",Data!C838=""),"",Data!C839/Data!C838-1)</f>
        <v>7.9498797447401515E-3</v>
      </c>
      <c r="D838">
        <f>IF(OR(Data!D839="",Data!D838=""),"",Data!D839/Data!D838-1)</f>
        <v>-6.6725627628070328E-3</v>
      </c>
    </row>
    <row r="839" spans="1:4" x14ac:dyDescent="0.35">
      <c r="A839" t="str">
        <f>Data!A840</f>
        <v>2025-03-20</v>
      </c>
      <c r="B839">
        <f>IF(OR(Data!B840="",Data!B839=""),"",Data!B840/Data!B839-1)</f>
        <v>2.0289720458662064E-2</v>
      </c>
      <c r="C839">
        <f>IF(OR(Data!C840="",Data!C839=""),"",Data!C840/Data!C839-1)</f>
        <v>-2.3158091304343986E-2</v>
      </c>
      <c r="D839">
        <f>IF(OR(Data!D840="",Data!D839=""),"",Data!D840/Data!D839-1)</f>
        <v>-1.3020096865072883E-3</v>
      </c>
    </row>
    <row r="840" spans="1:4" x14ac:dyDescent="0.35">
      <c r="A840" t="str">
        <f>Data!A841</f>
        <v>2025-03-21</v>
      </c>
      <c r="B840">
        <f>IF(OR(Data!B841="",Data!B840=""),"",Data!B841/Data!B840-1)</f>
        <v>-3.8720326417799322E-3</v>
      </c>
      <c r="C840">
        <f>IF(OR(Data!C841="",Data!C840=""),"",Data!C841/Data!C840-1)</f>
        <v>1.3807555604494759E-2</v>
      </c>
      <c r="D840">
        <f>IF(OR(Data!D841="",Data!D840=""),"",Data!D841/Data!D840-1)</f>
        <v>1.5045368848892737E-2</v>
      </c>
    </row>
    <row r="841" spans="1:4" x14ac:dyDescent="0.35">
      <c r="A841" t="str">
        <f>Data!A842</f>
        <v>2025-03-24</v>
      </c>
      <c r="B841">
        <f>IF(OR(Data!B842="",Data!B841=""),"",Data!B842/Data!B841-1)</f>
        <v>-5.8954225452345632E-4</v>
      </c>
      <c r="C841">
        <f>IF(OR(Data!C842="",Data!C841=""),"",Data!C842/Data!C841-1)</f>
        <v>-6.9342657850058886E-3</v>
      </c>
      <c r="D841">
        <f>IF(OR(Data!D842="",Data!D841=""),"",Data!D842/Data!D841-1)</f>
        <v>2.71474235149467E-2</v>
      </c>
    </row>
    <row r="842" spans="1:4" x14ac:dyDescent="0.35">
      <c r="A842" t="str">
        <f>Data!A843</f>
        <v>2025-03-25</v>
      </c>
      <c r="B842">
        <f>IF(OR(Data!B843="",Data!B842=""),"",Data!B843/Data!B842-1)</f>
        <v>1.3993960185796572E-2</v>
      </c>
      <c r="C842">
        <f>IF(OR(Data!C843="",Data!C842=""),"",Data!C843/Data!C842-1)</f>
        <v>2.4925598677791871E-3</v>
      </c>
      <c r="D842">
        <f>IF(OR(Data!D843="",Data!D842=""),"",Data!D843/Data!D842-1)</f>
        <v>-1.876464151826096E-2</v>
      </c>
    </row>
    <row r="843" spans="1:4" x14ac:dyDescent="0.35">
      <c r="A843" t="str">
        <f>Data!A844</f>
        <v>2025-03-26</v>
      </c>
      <c r="B843">
        <f>IF(OR(Data!B844="",Data!B843=""),"",Data!B844/Data!B843-1)</f>
        <v>-2.1813002054231978E-2</v>
      </c>
      <c r="C843">
        <f>IF(OR(Data!C844="",Data!C843=""),"",Data!C844/Data!C843-1)</f>
        <v>2.4772745166405929E-2</v>
      </c>
      <c r="D843">
        <f>IF(OR(Data!D844="",Data!D843=""),"",Data!D844/Data!D843-1)</f>
        <v>-3.4921690862205201E-2</v>
      </c>
    </row>
    <row r="844" spans="1:4" x14ac:dyDescent="0.35">
      <c r="A844" t="str">
        <f>Data!A845</f>
        <v>2025-03-27</v>
      </c>
      <c r="B844">
        <f>IF(OR(Data!B845="",Data!B844=""),"",Data!B845/Data!B844-1)</f>
        <v>8.0805073346492673E-3</v>
      </c>
      <c r="C844">
        <f>IF(OR(Data!C845="",Data!C844=""),"",Data!C845/Data!C844-1)</f>
        <v>1.383491352136379E-2</v>
      </c>
      <c r="D844">
        <f>IF(OR(Data!D845="",Data!D844=""),"",Data!D845/Data!D844-1)</f>
        <v>-3.0244632791393222E-2</v>
      </c>
    </row>
    <row r="845" spans="1:4" x14ac:dyDescent="0.35">
      <c r="A845" t="str">
        <f>Data!A846</f>
        <v>2025-03-28</v>
      </c>
      <c r="B845">
        <f>IF(OR(Data!B846="",Data!B845=""),"",Data!B846/Data!B845-1)</f>
        <v>3.7361291333364299E-3</v>
      </c>
      <c r="C845">
        <f>IF(OR(Data!C846="",Data!C845=""),"",Data!C846/Data!C845-1)</f>
        <v>-3.7335973093156616E-3</v>
      </c>
      <c r="D845">
        <f>IF(OR(Data!D846="",Data!D845=""),"",Data!D846/Data!D845-1)</f>
        <v>-1.3967535859695568E-2</v>
      </c>
    </row>
    <row r="846" spans="1:4" x14ac:dyDescent="0.35">
      <c r="A846" t="str">
        <f>Data!A847</f>
        <v>2025-03-31</v>
      </c>
      <c r="B846">
        <f>IF(OR(Data!B847="",Data!B846=""),"",Data!B847/Data!B846-1)</f>
        <v>1.0301833104926272E-2</v>
      </c>
      <c r="C846">
        <f>IF(OR(Data!C847="",Data!C846=""),"",Data!C847/Data!C846-1)</f>
        <v>-1.2995076670843764E-2</v>
      </c>
      <c r="D846">
        <f>IF(OR(Data!D847="",Data!D846=""),"",Data!D847/Data!D846-1)</f>
        <v>-9.9577159787025415E-3</v>
      </c>
    </row>
    <row r="847" spans="1:4" x14ac:dyDescent="0.35">
      <c r="A847" t="str">
        <f>Data!A848</f>
        <v>2025-04-01</v>
      </c>
      <c r="B847">
        <f>IF(OR(Data!B848="",Data!B847=""),"",Data!B848/Data!B847-1)</f>
        <v>6.2020477845974309E-3</v>
      </c>
      <c r="C847">
        <f>IF(OR(Data!C848="",Data!C847=""),"",Data!C848/Data!C847-1)</f>
        <v>-3.1483434227379425E-2</v>
      </c>
      <c r="D847">
        <f>IF(OR(Data!D848="",Data!D847=""),"",Data!D848/Data!D847-1)</f>
        <v>-2.2297584804180204E-2</v>
      </c>
    </row>
    <row r="848" spans="1:4" x14ac:dyDescent="0.35">
      <c r="A848" t="str">
        <f>Data!A849</f>
        <v>2025-04-02</v>
      </c>
      <c r="B848">
        <f>IF(OR(Data!B849="",Data!B848=""),"",Data!B849/Data!B848-1)</f>
        <v>5.0751963936880973E-2</v>
      </c>
      <c r="C848">
        <f>IF(OR(Data!C849="",Data!C848=""),"",Data!C849/Data!C848-1)</f>
        <v>-1.0444964157742653E-2</v>
      </c>
      <c r="D848">
        <f>IF(OR(Data!D849="",Data!D848=""),"",Data!D849/Data!D848-1)</f>
        <v>-3.7608096380843947E-2</v>
      </c>
    </row>
    <row r="849" spans="1:4" x14ac:dyDescent="0.35">
      <c r="A849" t="str">
        <f>Data!A850</f>
        <v>2025-04-03</v>
      </c>
      <c r="B849">
        <f>IF(OR(Data!B850="",Data!B849=""),"",Data!B850/Data!B849-1)</f>
        <v>-1.2278963622469163E-2</v>
      </c>
      <c r="C849">
        <f>IF(OR(Data!C850="",Data!C849=""),"",Data!C850/Data!C849-1)</f>
        <v>-2.8752691472477832E-3</v>
      </c>
      <c r="D849">
        <f>IF(OR(Data!D850="",Data!D849=""),"",Data!D850/Data!D849-1)</f>
        <v>-1.3047678809781527E-2</v>
      </c>
    </row>
    <row r="850" spans="1:4" x14ac:dyDescent="0.35">
      <c r="A850" t="str">
        <f>Data!A851</f>
        <v>2025-04-04</v>
      </c>
      <c r="B850">
        <f>IF(OR(Data!B851="",Data!B850=""),"",Data!B851/Data!B850-1)</f>
        <v>-1.0167843028437207E-2</v>
      </c>
      <c r="C850">
        <f>IF(OR(Data!C851="",Data!C850=""),"",Data!C851/Data!C850-1)</f>
        <v>-1.4415266302483243E-2</v>
      </c>
      <c r="D850">
        <f>IF(OR(Data!D851="",Data!D850=""),"",Data!D851/Data!D850-1)</f>
        <v>6.0106683635952063E-3</v>
      </c>
    </row>
    <row r="851" spans="1:4" x14ac:dyDescent="0.35">
      <c r="A851" t="str">
        <f>Data!A852</f>
        <v>2025-04-07</v>
      </c>
      <c r="B851">
        <f>IF(OR(Data!B852="",Data!B851=""),"",Data!B852/Data!B851-1)</f>
        <v>-1.1990059535515796E-2</v>
      </c>
      <c r="C851">
        <f>IF(OR(Data!C852="",Data!C851=""),"",Data!C852/Data!C851-1)</f>
        <v>-1.6799308577302163E-3</v>
      </c>
      <c r="D851">
        <f>IF(OR(Data!D852="",Data!D851=""),"",Data!D852/Data!D851-1)</f>
        <v>1.8571389271528016E-2</v>
      </c>
    </row>
    <row r="852" spans="1:4" x14ac:dyDescent="0.35">
      <c r="A852" t="str">
        <f>Data!A853</f>
        <v>2025-04-08</v>
      </c>
      <c r="B852">
        <f>IF(OR(Data!B853="",Data!B852=""),"",Data!B853/Data!B852-1)</f>
        <v>-1.065245856311603E-2</v>
      </c>
      <c r="C852">
        <f>IF(OR(Data!C853="",Data!C852=""),"",Data!C853/Data!C852-1)</f>
        <v>1.4413267606023794E-3</v>
      </c>
      <c r="D852">
        <f>IF(OR(Data!D853="",Data!D852=""),"",Data!D853/Data!D852-1)</f>
        <v>-1.6042600928944051E-2</v>
      </c>
    </row>
    <row r="853" spans="1:4" x14ac:dyDescent="0.35">
      <c r="A853" t="str">
        <f>Data!A854</f>
        <v>2025-04-09</v>
      </c>
      <c r="B853">
        <f>IF(OR(Data!B854="",Data!B853=""),"",Data!B854/Data!B853-1)</f>
        <v>-1.2272084117988857E-2</v>
      </c>
      <c r="C853">
        <f>IF(OR(Data!C854="",Data!C853=""),"",Data!C854/Data!C853-1)</f>
        <v>-3.0807716356687775E-3</v>
      </c>
      <c r="D853">
        <f>IF(OR(Data!D854="",Data!D853=""),"",Data!D854/Data!D853-1)</f>
        <v>-1.177021914602927E-2</v>
      </c>
    </row>
    <row r="854" spans="1:4" x14ac:dyDescent="0.35">
      <c r="A854" t="str">
        <f>Data!A855</f>
        <v>2025-04-10</v>
      </c>
      <c r="B854">
        <f>IF(OR(Data!B855="",Data!B854=""),"",Data!B855/Data!B854-1)</f>
        <v>2.4475063478284209E-2</v>
      </c>
      <c r="C854">
        <f>IF(OR(Data!C855="",Data!C854=""),"",Data!C855/Data!C854-1)</f>
        <v>-9.4177092151220831E-3</v>
      </c>
      <c r="D854">
        <f>IF(OR(Data!D855="",Data!D854=""),"",Data!D855/Data!D854-1)</f>
        <v>-2.688293881527215E-2</v>
      </c>
    </row>
    <row r="855" spans="1:4" x14ac:dyDescent="0.35">
      <c r="A855" t="str">
        <f>Data!A856</f>
        <v>2025-04-11</v>
      </c>
      <c r="B855">
        <f>IF(OR(Data!B856="",Data!B855=""),"",Data!B856/Data!B855-1)</f>
        <v>2.9229035124440417E-2</v>
      </c>
      <c r="C855">
        <f>IF(OR(Data!C856="",Data!C855=""),"",Data!C856/Data!C855-1)</f>
        <v>2.8210835385489297E-3</v>
      </c>
      <c r="D855">
        <f>IF(OR(Data!D856="",Data!D855=""),"",Data!D856/Data!D855-1)</f>
        <v>-3.9317426787843779E-4</v>
      </c>
    </row>
    <row r="856" spans="1:4" x14ac:dyDescent="0.35">
      <c r="A856" t="str">
        <f>Data!A857</f>
        <v>2025-04-14</v>
      </c>
      <c r="B856">
        <f>IF(OR(Data!B857="",Data!B856=""),"",Data!B857/Data!B856-1)</f>
        <v>-1.0954396721408299E-2</v>
      </c>
      <c r="C856">
        <f>IF(OR(Data!C857="",Data!C856=""),"",Data!C857/Data!C856-1)</f>
        <v>6.940781287115394E-3</v>
      </c>
      <c r="D856">
        <f>IF(OR(Data!D857="",Data!D856=""),"",Data!D857/Data!D856-1)</f>
        <v>-2.4595348696483277E-2</v>
      </c>
    </row>
    <row r="857" spans="1:4" x14ac:dyDescent="0.35">
      <c r="A857" t="str">
        <f>Data!A858</f>
        <v>2025-04-15</v>
      </c>
      <c r="B857">
        <f>IF(OR(Data!B858="",Data!B857=""),"",Data!B858/Data!B857-1)</f>
        <v>-1.6115697783434579E-2</v>
      </c>
      <c r="C857">
        <f>IF(OR(Data!C858="",Data!C857=""),"",Data!C858/Data!C857-1)</f>
        <v>-1.5940170368968554E-2</v>
      </c>
      <c r="D857">
        <f>IF(OR(Data!D858="",Data!D857=""),"",Data!D858/Data!D857-1)</f>
        <v>1.7902224255689436E-2</v>
      </c>
    </row>
    <row r="858" spans="1:4" x14ac:dyDescent="0.35">
      <c r="A858" t="str">
        <f>Data!A859</f>
        <v>2025-04-16</v>
      </c>
      <c r="B858">
        <f>IF(OR(Data!B859="",Data!B858=""),"",Data!B859/Data!B858-1)</f>
        <v>9.8768890037495005E-3</v>
      </c>
      <c r="C858">
        <f>IF(OR(Data!C859="",Data!C858=""),"",Data!C859/Data!C858-1)</f>
        <v>2.1683142175491499E-2</v>
      </c>
      <c r="D858">
        <f>IF(OR(Data!D859="",Data!D858=""),"",Data!D859/Data!D858-1)</f>
        <v>-5.1644690229754486E-2</v>
      </c>
    </row>
    <row r="859" spans="1:4" x14ac:dyDescent="0.35">
      <c r="A859" t="str">
        <f>Data!A860</f>
        <v>2025-04-17</v>
      </c>
      <c r="B859">
        <f>IF(OR(Data!B860="",Data!B859=""),"",Data!B860/Data!B859-1)</f>
        <v>-1.0588046915655958E-2</v>
      </c>
      <c r="C859">
        <f>IF(OR(Data!C860="",Data!C859=""),"",Data!C860/Data!C859-1)</f>
        <v>-1.1904300988494487E-3</v>
      </c>
      <c r="D859">
        <f>IF(OR(Data!D860="",Data!D859=""),"",Data!D860/Data!D859-1)</f>
        <v>-1.0186545814653614E-2</v>
      </c>
    </row>
    <row r="860" spans="1:4" x14ac:dyDescent="0.35">
      <c r="A860" t="str">
        <f>Data!A861</f>
        <v>2025-04-18</v>
      </c>
      <c r="B860">
        <f>IF(OR(Data!B861="",Data!B860=""),"",Data!B861/Data!B860-1)</f>
        <v>1.3144053567454961E-2</v>
      </c>
      <c r="C860">
        <f>IF(OR(Data!C861="",Data!C860=""),"",Data!C861/Data!C860-1)</f>
        <v>5.7023805687528295E-4</v>
      </c>
      <c r="D860">
        <f>IF(OR(Data!D861="",Data!D860=""),"",Data!D861/Data!D860-1)</f>
        <v>9.6293240806550884E-3</v>
      </c>
    </row>
    <row r="861" spans="1:4" x14ac:dyDescent="0.35">
      <c r="A861" t="str">
        <f>Data!A862</f>
        <v>2025-04-21</v>
      </c>
      <c r="B861">
        <f>IF(OR(Data!B862="",Data!B861=""),"",Data!B862/Data!B861-1)</f>
        <v>4.4683192174097552E-3</v>
      </c>
      <c r="C861">
        <f>IF(OR(Data!C862="",Data!C861=""),"",Data!C862/Data!C861-1)</f>
        <v>1.0970476542546015E-2</v>
      </c>
      <c r="D861">
        <f>IF(OR(Data!D862="",Data!D861=""),"",Data!D862/Data!D861-1)</f>
        <v>6.0833391947427984E-3</v>
      </c>
    </row>
    <row r="862" spans="1:4" x14ac:dyDescent="0.35">
      <c r="A862" t="str">
        <f>Data!A863</f>
        <v>2025-04-22</v>
      </c>
      <c r="B862">
        <f>IF(OR(Data!B863="",Data!B862=""),"",Data!B863/Data!B862-1)</f>
        <v>-2.9471461745598337E-2</v>
      </c>
      <c r="C862">
        <f>IF(OR(Data!C863="",Data!C862=""),"",Data!C863/Data!C862-1)</f>
        <v>3.7930492390008119E-3</v>
      </c>
      <c r="D862">
        <f>IF(OR(Data!D863="",Data!D862=""),"",Data!D863/Data!D862-1)</f>
        <v>8.4740870591398343E-2</v>
      </c>
    </row>
    <row r="863" spans="1:4" x14ac:dyDescent="0.35">
      <c r="A863" t="str">
        <f>Data!A864</f>
        <v>2025-04-23</v>
      </c>
      <c r="B863">
        <f>IF(OR(Data!B864="",Data!B863=""),"",Data!B864/Data!B863-1)</f>
        <v>3.1846942731535322E-2</v>
      </c>
      <c r="C863">
        <f>IF(OR(Data!C864="",Data!C863=""),"",Data!C864/Data!C863-1)</f>
        <v>1.4691251895567525E-2</v>
      </c>
      <c r="D863">
        <f>IF(OR(Data!D864="",Data!D863=""),"",Data!D864/Data!D863-1)</f>
        <v>1.1105114186177101E-2</v>
      </c>
    </row>
    <row r="864" spans="1:4" x14ac:dyDescent="0.35">
      <c r="A864" t="str">
        <f>Data!A865</f>
        <v>2025-04-24</v>
      </c>
      <c r="B864">
        <f>IF(OR(Data!B865="",Data!B864=""),"",Data!B865/Data!B864-1)</f>
        <v>3.6984787400034191E-2</v>
      </c>
      <c r="C864">
        <f>IF(OR(Data!C865="",Data!C864=""),"",Data!C865/Data!C864-1)</f>
        <v>4.6049756764450223E-3</v>
      </c>
      <c r="D864">
        <f>IF(OR(Data!D865="",Data!D864=""),"",Data!D865/Data!D864-1)</f>
        <v>-2.9138744548220963E-2</v>
      </c>
    </row>
    <row r="865" spans="1:4" x14ac:dyDescent="0.35">
      <c r="A865" t="str">
        <f>Data!A866</f>
        <v>2025-04-25</v>
      </c>
      <c r="B865">
        <f>IF(OR(Data!B866="",Data!B865=""),"",Data!B866/Data!B865-1)</f>
        <v>-1.1785793879864337E-2</v>
      </c>
      <c r="C865">
        <f>IF(OR(Data!C866="",Data!C865=""),"",Data!C866/Data!C865-1)</f>
        <v>-8.8595560701383302E-3</v>
      </c>
      <c r="D865">
        <f>IF(OR(Data!D866="",Data!D865=""),"",Data!D866/Data!D865-1)</f>
        <v>-2.311254577347599E-3</v>
      </c>
    </row>
    <row r="866" spans="1:4" x14ac:dyDescent="0.35">
      <c r="A866" t="str">
        <f>Data!A867</f>
        <v>2025-04-28</v>
      </c>
      <c r="B866">
        <f>IF(OR(Data!B867="",Data!B866=""),"",Data!B867/Data!B866-1)</f>
        <v>-7.3273756898816211E-3</v>
      </c>
      <c r="C866">
        <f>IF(OR(Data!C867="",Data!C866=""),"",Data!C867/Data!C866-1)</f>
        <v>5.7263081030094476E-3</v>
      </c>
      <c r="D866">
        <f>IF(OR(Data!D867="",Data!D866=""),"",Data!D867/Data!D866-1)</f>
        <v>-5.137076834851606E-2</v>
      </c>
    </row>
    <row r="867" spans="1:4" x14ac:dyDescent="0.35">
      <c r="A867" t="str">
        <f>Data!A868</f>
        <v>2025-04-29</v>
      </c>
      <c r="B867">
        <f>IF(OR(Data!B868="",Data!B867=""),"",Data!B868/Data!B867-1)</f>
        <v>6.1361194079778691E-3</v>
      </c>
      <c r="C867">
        <f>IF(OR(Data!C868="",Data!C867=""),"",Data!C868/Data!C867-1)</f>
        <v>-1.6726911098140063E-2</v>
      </c>
      <c r="D867">
        <f>IF(OR(Data!D868="",Data!D867=""),"",Data!D868/Data!D867-1)</f>
        <v>-1.8662795629702522E-3</v>
      </c>
    </row>
    <row r="868" spans="1:4" x14ac:dyDescent="0.35">
      <c r="A868" t="str">
        <f>Data!A869</f>
        <v>2025-04-30</v>
      </c>
      <c r="B868">
        <f>IF(OR(Data!B869="",Data!B868=""),"",Data!B869/Data!B868-1)</f>
        <v>7.1148002668048882E-3</v>
      </c>
      <c r="C868">
        <f>IF(OR(Data!C869="",Data!C868=""),"",Data!C869/Data!C868-1)</f>
        <v>1.917834642234606E-3</v>
      </c>
      <c r="D868">
        <f>IF(OR(Data!D869="",Data!D868=""),"",Data!D869/Data!D868-1)</f>
        <v>-2.4145359056823024E-2</v>
      </c>
    </row>
    <row r="869" spans="1:4" x14ac:dyDescent="0.35">
      <c r="A869" t="str">
        <f>Data!A870</f>
        <v>2025-05-01</v>
      </c>
      <c r="B869">
        <f>IF(OR(Data!B870="",Data!B869=""),"",Data!B870/Data!B869-1)</f>
        <v>1.3663470247719633E-2</v>
      </c>
      <c r="C869">
        <f>IF(OR(Data!C870="",Data!C869=""),"",Data!C870/Data!C869-1)</f>
        <v>-2.1089800508400369E-4</v>
      </c>
      <c r="D869">
        <f>IF(OR(Data!D870="",Data!D869=""),"",Data!D870/Data!D869-1)</f>
        <v>2.8407580944024513E-2</v>
      </c>
    </row>
    <row r="870" spans="1:4" x14ac:dyDescent="0.35">
      <c r="A870" t="str">
        <f>Data!A871</f>
        <v>2025-05-02</v>
      </c>
      <c r="B870">
        <f>IF(OR(Data!B871="",Data!B870=""),"",Data!B871/Data!B870-1)</f>
        <v>4.1439320437753224E-2</v>
      </c>
      <c r="C870">
        <f>IF(OR(Data!C871="",Data!C870=""),"",Data!C871/Data!C870-1)</f>
        <v>-2.8302599992601207E-3</v>
      </c>
      <c r="D870">
        <f>IF(OR(Data!D871="",Data!D870=""),"",Data!D871/Data!D870-1)</f>
        <v>-1.5809887204521811E-2</v>
      </c>
    </row>
    <row r="871" spans="1:4" x14ac:dyDescent="0.35">
      <c r="A871" t="str">
        <f>Data!A872</f>
        <v>2025-05-05</v>
      </c>
      <c r="B871">
        <f>IF(OR(Data!B872="",Data!B871=""),"",Data!B872/Data!B871-1)</f>
        <v>-3.1342693360834062E-3</v>
      </c>
      <c r="C871">
        <f>IF(OR(Data!C872="",Data!C871=""),"",Data!C872/Data!C871-1)</f>
        <v>-1.6393291516690889E-3</v>
      </c>
      <c r="D871">
        <f>IF(OR(Data!D872="",Data!D871=""),"",Data!D872/Data!D871-1)</f>
        <v>-2.9485181414484751E-3</v>
      </c>
    </row>
    <row r="872" spans="1:4" x14ac:dyDescent="0.35">
      <c r="A872" t="str">
        <f>Data!A873</f>
        <v>2025-05-06</v>
      </c>
      <c r="B872">
        <f>IF(OR(Data!B873="",Data!B872=""),"",Data!B873/Data!B872-1)</f>
        <v>-1.544483046173073E-2</v>
      </c>
      <c r="C872">
        <f>IF(OR(Data!C873="",Data!C872=""),"",Data!C873/Data!C872-1)</f>
        <v>-2.7553361065037807E-2</v>
      </c>
      <c r="D872">
        <f>IF(OR(Data!D873="",Data!D872=""),"",Data!D873/Data!D872-1)</f>
        <v>-1.8346326278522285E-2</v>
      </c>
    </row>
    <row r="873" spans="1:4" x14ac:dyDescent="0.35">
      <c r="A873" t="str">
        <f>Data!A874</f>
        <v>2025-05-07</v>
      </c>
      <c r="B873">
        <f>IF(OR(Data!B874="",Data!B873=""),"",Data!B874/Data!B873-1)</f>
        <v>-2.6820699053383024E-2</v>
      </c>
      <c r="C873">
        <f>IF(OR(Data!C874="",Data!C873=""),"",Data!C874/Data!C873-1)</f>
        <v>-7.9120038204719689E-3</v>
      </c>
      <c r="D873">
        <f>IF(OR(Data!D874="",Data!D873=""),"",Data!D874/Data!D873-1)</f>
        <v>5.4129594040882578E-2</v>
      </c>
    </row>
    <row r="874" spans="1:4" x14ac:dyDescent="0.35">
      <c r="A874" t="str">
        <f>Data!A875</f>
        <v>2025-05-08</v>
      </c>
      <c r="B874">
        <f>IF(OR(Data!B875="",Data!B874=""),"",Data!B875/Data!B874-1)</f>
        <v>-1.4117563605087535E-2</v>
      </c>
      <c r="C874">
        <f>IF(OR(Data!C875="",Data!C874=""),"",Data!C875/Data!C874-1)</f>
        <v>1.6816763075757635E-3</v>
      </c>
      <c r="D874">
        <f>IF(OR(Data!D875="",Data!D874=""),"",Data!D875/Data!D874-1)</f>
        <v>-9.0459761939789551E-3</v>
      </c>
    </row>
    <row r="875" spans="1:4" x14ac:dyDescent="0.35">
      <c r="A875" t="str">
        <f>Data!A876</f>
        <v>2025-05-09</v>
      </c>
      <c r="B875">
        <f>IF(OR(Data!B876="",Data!B875=""),"",Data!B876/Data!B875-1)</f>
        <v>-2.6289954677505278E-4</v>
      </c>
      <c r="C875">
        <f>IF(OR(Data!C876="",Data!C875=""),"",Data!C876/Data!C875-1)</f>
        <v>2.6889354533679022E-3</v>
      </c>
      <c r="D875">
        <f>IF(OR(Data!D876="",Data!D875=""),"",Data!D876/Data!D875-1)</f>
        <v>5.7097158336532061E-2</v>
      </c>
    </row>
    <row r="876" spans="1:4" x14ac:dyDescent="0.35">
      <c r="A876" t="str">
        <f>Data!A877</f>
        <v>2025-05-12</v>
      </c>
      <c r="B876">
        <f>IF(OR(Data!B877="",Data!B876=""),"",Data!B877/Data!B876-1)</f>
        <v>3.695817206317642E-2</v>
      </c>
      <c r="C876">
        <f>IF(OR(Data!C877="",Data!C876=""),"",Data!C877/Data!C876-1)</f>
        <v>-1.5013893371795706E-2</v>
      </c>
      <c r="D876">
        <f>IF(OR(Data!D877="",Data!D876=""),"",Data!D877/Data!D876-1)</f>
        <v>2.5289080511726736E-2</v>
      </c>
    </row>
    <row r="877" spans="1:4" x14ac:dyDescent="0.35">
      <c r="A877" t="str">
        <f>Data!A878</f>
        <v>2025-05-13</v>
      </c>
      <c r="B877">
        <f>IF(OR(Data!B878="",Data!B877=""),"",Data!B878/Data!B877-1)</f>
        <v>-9.9029327069062312E-3</v>
      </c>
      <c r="C877">
        <f>IF(OR(Data!C878="",Data!C877=""),"",Data!C878/Data!C877-1)</f>
        <v>1.9460142354950971E-2</v>
      </c>
      <c r="D877">
        <f>IF(OR(Data!D878="",Data!D877=""),"",Data!D878/Data!D877-1)</f>
        <v>1.5125218894485704E-2</v>
      </c>
    </row>
    <row r="878" spans="1:4" x14ac:dyDescent="0.35">
      <c r="A878" t="str">
        <f>Data!A879</f>
        <v>2025-05-14</v>
      </c>
      <c r="B878">
        <f>IF(OR(Data!B879="",Data!B878=""),"",Data!B879/Data!B878-1)</f>
        <v>4.8874162007972455E-3</v>
      </c>
      <c r="C878">
        <f>IF(OR(Data!C879="",Data!C878=""),"",Data!C879/Data!C878-1)</f>
        <v>-1.2624884829357641E-2</v>
      </c>
      <c r="D878">
        <f>IF(OR(Data!D879="",Data!D878=""),"",Data!D879/Data!D878-1)</f>
        <v>1.1679747924767225E-2</v>
      </c>
    </row>
    <row r="879" spans="1:4" x14ac:dyDescent="0.35">
      <c r="A879" t="str">
        <f>Data!A880</f>
        <v>2025-05-15</v>
      </c>
      <c r="B879">
        <f>IF(OR(Data!B880="",Data!B879=""),"",Data!B880/Data!B879-1)</f>
        <v>7.1770800284642888E-5</v>
      </c>
      <c r="C879">
        <f>IF(OR(Data!C880="",Data!C879=""),"",Data!C880/Data!C879-1)</f>
        <v>1.4939946144694183E-2</v>
      </c>
      <c r="D879">
        <f>IF(OR(Data!D880="",Data!D879=""),"",Data!D880/Data!D879-1)</f>
        <v>1.2440586131449161E-2</v>
      </c>
    </row>
    <row r="880" spans="1:4" x14ac:dyDescent="0.35">
      <c r="A880" t="str">
        <f>Data!A881</f>
        <v>2025-05-16</v>
      </c>
      <c r="B880">
        <f>IF(OR(Data!B881="",Data!B880=""),"",Data!B881/Data!B880-1)</f>
        <v>2.4462025910753082E-2</v>
      </c>
      <c r="C880">
        <f>IF(OR(Data!C881="",Data!C880=""),"",Data!C881/Data!C880-1)</f>
        <v>6.7178007635553261E-3</v>
      </c>
      <c r="D880">
        <f>IF(OR(Data!D881="",Data!D880=""),"",Data!D881/Data!D880-1)</f>
        <v>-5.5670594188547251E-2</v>
      </c>
    </row>
    <row r="881" spans="1:4" x14ac:dyDescent="0.35">
      <c r="A881" t="str">
        <f>Data!A882</f>
        <v>2025-05-19</v>
      </c>
      <c r="B881">
        <f>IF(OR(Data!B882="",Data!B881=""),"",Data!B882/Data!B881-1)</f>
        <v>5.2258163353489095E-2</v>
      </c>
      <c r="C881">
        <f>IF(OR(Data!C882="",Data!C881=""),"",Data!C882/Data!C881-1)</f>
        <v>-9.3617727690309405E-3</v>
      </c>
      <c r="D881">
        <f>IF(OR(Data!D882="",Data!D881=""),"",Data!D882/Data!D881-1)</f>
        <v>-7.7860174678637817E-3</v>
      </c>
    </row>
    <row r="882" spans="1:4" x14ac:dyDescent="0.35">
      <c r="A882" t="str">
        <f>Data!A883</f>
        <v>2025-05-20</v>
      </c>
      <c r="B882">
        <f>IF(OR(Data!B883="",Data!B882=""),"",Data!B883/Data!B882-1)</f>
        <v>-1.0165144715499674E-2</v>
      </c>
      <c r="C882">
        <f>IF(OR(Data!C883="",Data!C882=""),"",Data!C883/Data!C882-1)</f>
        <v>2.7282849590067659E-2</v>
      </c>
      <c r="D882">
        <f>IF(OR(Data!D883="",Data!D882=""),"",Data!D883/Data!D882-1)</f>
        <v>2.6243150511458202E-2</v>
      </c>
    </row>
    <row r="883" spans="1:4" x14ac:dyDescent="0.35">
      <c r="A883" t="str">
        <f>Data!A884</f>
        <v>2025-05-21</v>
      </c>
      <c r="B883">
        <f>IF(OR(Data!B884="",Data!B883=""),"",Data!B884/Data!B883-1)</f>
        <v>-9.3449132231120391E-3</v>
      </c>
      <c r="C883">
        <f>IF(OR(Data!C884="",Data!C883=""),"",Data!C884/Data!C883-1)</f>
        <v>-1.7462977904581178E-2</v>
      </c>
      <c r="D883">
        <f>IF(OR(Data!D884="",Data!D883=""),"",Data!D884/Data!D883-1)</f>
        <v>-9.1640515850810456E-4</v>
      </c>
    </row>
    <row r="884" spans="1:4" x14ac:dyDescent="0.35">
      <c r="A884" t="str">
        <f>Data!A885</f>
        <v>2025-05-22</v>
      </c>
      <c r="B884">
        <f>IF(OR(Data!B885="",Data!B884=""),"",Data!B885/Data!B884-1)</f>
        <v>2.1511346072337734E-2</v>
      </c>
      <c r="C884">
        <f>IF(OR(Data!C885="",Data!C884=""),"",Data!C885/Data!C884-1)</f>
        <v>1.4174425268502766E-2</v>
      </c>
      <c r="D884">
        <f>IF(OR(Data!D885="",Data!D884=""),"",Data!D885/Data!D884-1)</f>
        <v>-4.0752047047258655E-2</v>
      </c>
    </row>
    <row r="885" spans="1:4" x14ac:dyDescent="0.35">
      <c r="A885" t="str">
        <f>Data!A886</f>
        <v>2025-05-23</v>
      </c>
      <c r="B885">
        <f>IF(OR(Data!B886="",Data!B885=""),"",Data!B886/Data!B885-1)</f>
        <v>1.4137041097421976E-2</v>
      </c>
      <c r="C885">
        <f>IF(OR(Data!C886="",Data!C885=""),"",Data!C886/Data!C885-1)</f>
        <v>1.5413949467752097E-2</v>
      </c>
      <c r="D885">
        <f>IF(OR(Data!D886="",Data!D885=""),"",Data!D886/Data!D885-1)</f>
        <v>-1.0217281975776205E-3</v>
      </c>
    </row>
    <row r="886" spans="1:4" x14ac:dyDescent="0.35">
      <c r="A886" t="str">
        <f>Data!A887</f>
        <v>2025-05-26</v>
      </c>
      <c r="B886">
        <f>IF(OR(Data!B887="",Data!B886=""),"",Data!B887/Data!B886-1)</f>
        <v>3.8039706868620682E-2</v>
      </c>
      <c r="C886">
        <f>IF(OR(Data!C887="",Data!C886=""),"",Data!C887/Data!C886-1)</f>
        <v>-9.7243126312618333E-3</v>
      </c>
      <c r="D886">
        <f>IF(OR(Data!D887="",Data!D886=""),"",Data!D887/Data!D886-1)</f>
        <v>5.3031624086498308E-2</v>
      </c>
    </row>
    <row r="887" spans="1:4" x14ac:dyDescent="0.35">
      <c r="A887" t="str">
        <f>Data!A888</f>
        <v>2025-05-27</v>
      </c>
      <c r="B887">
        <f>IF(OR(Data!B888="",Data!B887=""),"",Data!B888/Data!B887-1)</f>
        <v>1.2151711417652367E-2</v>
      </c>
      <c r="C887">
        <f>IF(OR(Data!C888="",Data!C887=""),"",Data!C888/Data!C887-1)</f>
        <v>2.1400225940340079E-2</v>
      </c>
      <c r="D887">
        <f>IF(OR(Data!D888="",Data!D887=""),"",Data!D888/Data!D887-1)</f>
        <v>3.8686278932090534E-2</v>
      </c>
    </row>
    <row r="888" spans="1:4" x14ac:dyDescent="0.35">
      <c r="A888" t="str">
        <f>Data!A889</f>
        <v>2025-05-28</v>
      </c>
      <c r="B888">
        <f>IF(OR(Data!B889="",Data!B888=""),"",Data!B889/Data!B888-1)</f>
        <v>-6.7627831817085315E-3</v>
      </c>
      <c r="C888">
        <f>IF(OR(Data!C889="",Data!C888=""),"",Data!C889/Data!C888-1)</f>
        <v>-3.457169523446546E-3</v>
      </c>
      <c r="D888">
        <f>IF(OR(Data!D889="",Data!D888=""),"",Data!D889/Data!D888-1)</f>
        <v>-1.3092303250669124E-3</v>
      </c>
    </row>
    <row r="889" spans="1:4" x14ac:dyDescent="0.35">
      <c r="A889" t="str">
        <f>Data!A890</f>
        <v>2025-05-29</v>
      </c>
      <c r="B889">
        <f>IF(OR(Data!B890="",Data!B889=""),"",Data!B890/Data!B889-1)</f>
        <v>1.2287704606774197E-2</v>
      </c>
      <c r="C889">
        <f>IF(OR(Data!C890="",Data!C889=""),"",Data!C890/Data!C889-1)</f>
        <v>4.6286468633107702E-3</v>
      </c>
      <c r="D889">
        <f>IF(OR(Data!D890="",Data!D889=""),"",Data!D890/Data!D889-1)</f>
        <v>2.9520852901373962E-2</v>
      </c>
    </row>
    <row r="890" spans="1:4" x14ac:dyDescent="0.35">
      <c r="A890" t="str">
        <f>Data!A891</f>
        <v>2025-05-30</v>
      </c>
      <c r="B890">
        <f>IF(OR(Data!B891="",Data!B890=""),"",Data!B891/Data!B890-1)</f>
        <v>2.2831095235085641E-2</v>
      </c>
      <c r="C890">
        <f>IF(OR(Data!C891="",Data!C890=""),"",Data!C891/Data!C890-1)</f>
        <v>4.2009586727957959E-3</v>
      </c>
      <c r="D890">
        <f>IF(OR(Data!D891="",Data!D890=""),"",Data!D891/Data!D890-1)</f>
        <v>-1.0390956559258591E-2</v>
      </c>
    </row>
    <row r="891" spans="1:4" x14ac:dyDescent="0.35">
      <c r="A891" t="str">
        <f>Data!A892</f>
        <v>2025-06-02</v>
      </c>
      <c r="B891">
        <f>IF(OR(Data!B892="",Data!B891=""),"",Data!B892/Data!B891-1)</f>
        <v>1.6951688961874378E-2</v>
      </c>
      <c r="C891">
        <f>IF(OR(Data!C892="",Data!C891=""),"",Data!C892/Data!C891-1)</f>
        <v>-1.7255422242472562E-3</v>
      </c>
      <c r="D891">
        <f>IF(OR(Data!D892="",Data!D891=""),"",Data!D892/Data!D891-1)</f>
        <v>-4.9308957233846651E-2</v>
      </c>
    </row>
    <row r="892" spans="1:4" x14ac:dyDescent="0.35">
      <c r="A892" t="str">
        <f>Data!A893</f>
        <v>2025-06-03</v>
      </c>
      <c r="B892">
        <f>IF(OR(Data!B893="",Data!B892=""),"",Data!B893/Data!B892-1)</f>
        <v>1.0601236541518677E-2</v>
      </c>
      <c r="C892">
        <f>IF(OR(Data!C893="",Data!C892=""),"",Data!C893/Data!C892-1)</f>
        <v>1.2527531212538578E-2</v>
      </c>
      <c r="D892">
        <f>IF(OR(Data!D893="",Data!D892=""),"",Data!D893/Data!D892-1)</f>
        <v>-2.6817762611492713E-2</v>
      </c>
    </row>
    <row r="893" spans="1:4" x14ac:dyDescent="0.35">
      <c r="A893" t="str">
        <f>Data!A894</f>
        <v>2025-06-04</v>
      </c>
      <c r="B893">
        <f>IF(OR(Data!B894="",Data!B893=""),"",Data!B894/Data!B893-1)</f>
        <v>2.1971203300506614E-2</v>
      </c>
      <c r="C893">
        <f>IF(OR(Data!C894="",Data!C893=""),"",Data!C894/Data!C893-1)</f>
        <v>1.2264338109426287E-2</v>
      </c>
      <c r="D893">
        <f>IF(OR(Data!D894="",Data!D893=""),"",Data!D894/Data!D893-1)</f>
        <v>4.8579821791087108E-2</v>
      </c>
    </row>
    <row r="894" spans="1:4" x14ac:dyDescent="0.35">
      <c r="A894" t="str">
        <f>Data!A895</f>
        <v>2025-06-05</v>
      </c>
      <c r="B894">
        <f>IF(OR(Data!B895="",Data!B894=""),"",Data!B895/Data!B894-1)</f>
        <v>2.4071045771740351E-2</v>
      </c>
      <c r="C894">
        <f>IF(OR(Data!C895="",Data!C894=""),"",Data!C895/Data!C894-1)</f>
        <v>-2.5606950548932028E-2</v>
      </c>
      <c r="D894">
        <f>IF(OR(Data!D895="",Data!D894=""),"",Data!D895/Data!D894-1)</f>
        <v>-7.6403902618862318E-3</v>
      </c>
    </row>
    <row r="895" spans="1:4" x14ac:dyDescent="0.35">
      <c r="A895" t="str">
        <f>Data!A896</f>
        <v>2025-06-06</v>
      </c>
      <c r="B895">
        <f>IF(OR(Data!B896="",Data!B895=""),"",Data!B896/Data!B895-1)</f>
        <v>2.8440187595092592E-2</v>
      </c>
      <c r="C895">
        <f>IF(OR(Data!C896="",Data!C895=""),"",Data!C896/Data!C895-1)</f>
        <v>2.0050999756961785E-2</v>
      </c>
      <c r="D895">
        <f>IF(OR(Data!D896="",Data!D895=""),"",Data!D896/Data!D895-1)</f>
        <v>-6.7288746135885091E-3</v>
      </c>
    </row>
    <row r="896" spans="1:4" x14ac:dyDescent="0.35">
      <c r="A896" t="str">
        <f>Data!A897</f>
        <v>2025-06-09</v>
      </c>
      <c r="B896">
        <f>IF(OR(Data!B897="",Data!B896=""),"",Data!B897/Data!B896-1)</f>
        <v>1.346430562615808E-2</v>
      </c>
      <c r="C896">
        <f>IF(OR(Data!C897="",Data!C896=""),"",Data!C897/Data!C896-1)</f>
        <v>-2.4348547292701972E-2</v>
      </c>
      <c r="D896">
        <f>IF(OR(Data!D897="",Data!D896=""),"",Data!D897/Data!D896-1)</f>
        <v>-8.409654940015554E-3</v>
      </c>
    </row>
    <row r="897" spans="1:4" x14ac:dyDescent="0.35">
      <c r="A897" t="str">
        <f>Data!A898</f>
        <v>2025-06-10</v>
      </c>
      <c r="B897">
        <f>IF(OR(Data!B898="",Data!B897=""),"",Data!B898/Data!B897-1)</f>
        <v>-2.9382155611658023E-3</v>
      </c>
      <c r="C897">
        <f>IF(OR(Data!C898="",Data!C897=""),"",Data!C898/Data!C897-1)</f>
        <v>1.5900843340390436E-2</v>
      </c>
      <c r="D897">
        <f>IF(OR(Data!D898="",Data!D897=""),"",Data!D898/Data!D897-1)</f>
        <v>5.9369713085154041E-2</v>
      </c>
    </row>
    <row r="898" spans="1:4" x14ac:dyDescent="0.35">
      <c r="A898" t="str">
        <f>Data!A899</f>
        <v>2025-06-11</v>
      </c>
      <c r="B898">
        <f>IF(OR(Data!B899="",Data!B898=""),"",Data!B899/Data!B898-1)</f>
        <v>3.3398920848715097E-3</v>
      </c>
      <c r="C898">
        <f>IF(OR(Data!C899="",Data!C898=""),"",Data!C899/Data!C898-1)</f>
        <v>1.7336662034229455E-2</v>
      </c>
      <c r="D898">
        <f>IF(OR(Data!D899="",Data!D898=""),"",Data!D899/Data!D898-1)</f>
        <v>5.0565825061513081E-2</v>
      </c>
    </row>
    <row r="899" spans="1:4" x14ac:dyDescent="0.35">
      <c r="A899" t="str">
        <f>Data!A900</f>
        <v>2025-06-12</v>
      </c>
      <c r="B899">
        <f>IF(OR(Data!B900="",Data!B899=""),"",Data!B900/Data!B899-1)</f>
        <v>2.4833384381953039E-2</v>
      </c>
      <c r="C899">
        <f>IF(OR(Data!C900="",Data!C899=""),"",Data!C900/Data!C899-1)</f>
        <v>-1.5948472951452963E-2</v>
      </c>
      <c r="D899">
        <f>IF(OR(Data!D900="",Data!D899=""),"",Data!D900/Data!D899-1)</f>
        <v>6.9416591216832302E-2</v>
      </c>
    </row>
    <row r="900" spans="1:4" x14ac:dyDescent="0.35">
      <c r="A900" t="str">
        <f>Data!A901</f>
        <v>2025-06-13</v>
      </c>
      <c r="B900">
        <f>IF(OR(Data!B901="",Data!B900=""),"",Data!B901/Data!B900-1)</f>
        <v>-1.5812479440373783E-2</v>
      </c>
      <c r="C900">
        <f>IF(OR(Data!C901="",Data!C900=""),"",Data!C901/Data!C900-1)</f>
        <v>-5.857627734204951E-3</v>
      </c>
      <c r="D900">
        <f>IF(OR(Data!D901="",Data!D900=""),"",Data!D901/Data!D900-1)</f>
        <v>-4.2123137739129568E-3</v>
      </c>
    </row>
    <row r="901" spans="1:4" x14ac:dyDescent="0.35">
      <c r="A901" t="str">
        <f>Data!A902</f>
        <v>2025-06-16</v>
      </c>
      <c r="B901">
        <f>IF(OR(Data!B902="",Data!B901=""),"",Data!B902/Data!B901-1)</f>
        <v>7.8037580108409887E-3</v>
      </c>
      <c r="C901">
        <f>IF(OR(Data!C902="",Data!C901=""),"",Data!C902/Data!C901-1)</f>
        <v>-1.6165895060691993E-2</v>
      </c>
      <c r="D901">
        <f>IF(OR(Data!D902="",Data!D901=""),"",Data!D902/Data!D901-1)</f>
        <v>9.4630875026047168E-3</v>
      </c>
    </row>
    <row r="902" spans="1:4" x14ac:dyDescent="0.35">
      <c r="A902" t="str">
        <f>Data!A903</f>
        <v>2025-06-17</v>
      </c>
      <c r="B902">
        <f>IF(OR(Data!B903="",Data!B902=""),"",Data!B903/Data!B902-1)</f>
        <v>-7.4385301941675142E-3</v>
      </c>
      <c r="C902">
        <f>IF(OR(Data!C903="",Data!C902=""),"",Data!C903/Data!C902-1)</f>
        <v>-2.9319094407211921E-3</v>
      </c>
      <c r="D902">
        <f>IF(OR(Data!D903="",Data!D902=""),"",Data!D903/Data!D902-1)</f>
        <v>-4.3953923963670483E-2</v>
      </c>
    </row>
    <row r="903" spans="1:4" x14ac:dyDescent="0.35">
      <c r="A903" t="str">
        <f>Data!A904</f>
        <v>2025-06-18</v>
      </c>
      <c r="B903">
        <f>IF(OR(Data!B904="",Data!B903=""),"",Data!B904/Data!B903-1)</f>
        <v>9.7535805709880741E-4</v>
      </c>
      <c r="C903">
        <f>IF(OR(Data!C904="",Data!C903=""),"",Data!C904/Data!C903-1)</f>
        <v>-4.3238536242737879E-3</v>
      </c>
      <c r="D903">
        <f>IF(OR(Data!D904="",Data!D903=""),"",Data!D904/Data!D903-1)</f>
        <v>4.5879372435536192E-2</v>
      </c>
    </row>
    <row r="904" spans="1:4" x14ac:dyDescent="0.35">
      <c r="A904" t="str">
        <f>Data!A905</f>
        <v>2025-06-19</v>
      </c>
      <c r="B904">
        <f>IF(OR(Data!B905="",Data!B904=""),"",Data!B905/Data!B904-1)</f>
        <v>2.6309006839871252E-2</v>
      </c>
      <c r="C904">
        <f>IF(OR(Data!C905="",Data!C904=""),"",Data!C905/Data!C904-1)</f>
        <v>1.2054535445335191E-2</v>
      </c>
      <c r="D904">
        <f>IF(OR(Data!D905="",Data!D904=""),"",Data!D905/Data!D904-1)</f>
        <v>-3.3895633004910164E-2</v>
      </c>
    </row>
    <row r="905" spans="1:4" x14ac:dyDescent="0.35">
      <c r="A905" t="str">
        <f>Data!A906</f>
        <v>2025-06-20</v>
      </c>
      <c r="B905">
        <f>IF(OR(Data!B906="",Data!B905=""),"",Data!B906/Data!B905-1)</f>
        <v>4.230738097025899E-3</v>
      </c>
      <c r="C905">
        <f>IF(OR(Data!C906="",Data!C905=""),"",Data!C906/Data!C905-1)</f>
        <v>2.0142436871171565E-2</v>
      </c>
      <c r="D905">
        <f>IF(OR(Data!D906="",Data!D905=""),"",Data!D906/Data!D905-1)</f>
        <v>7.0781419473313623E-3</v>
      </c>
    </row>
    <row r="906" spans="1:4" x14ac:dyDescent="0.35">
      <c r="A906" t="str">
        <f>Data!A907</f>
        <v>2025-06-23</v>
      </c>
      <c r="B906">
        <f>IF(OR(Data!B907="",Data!B906=""),"",Data!B907/Data!B906-1)</f>
        <v>1.3295250711136131E-3</v>
      </c>
      <c r="C906">
        <f>IF(OR(Data!C907="",Data!C906=""),"",Data!C907/Data!C906-1)</f>
        <v>2.1449579193024704E-2</v>
      </c>
      <c r="D906">
        <f>IF(OR(Data!D907="",Data!D906=""),"",Data!D907/Data!D906-1)</f>
        <v>-3.1850766689696441E-2</v>
      </c>
    </row>
    <row r="907" spans="1:4" x14ac:dyDescent="0.35">
      <c r="A907" t="str">
        <f>Data!A908</f>
        <v>2025-06-24</v>
      </c>
      <c r="B907">
        <f>IF(OR(Data!B908="",Data!B907=""),"",Data!B908/Data!B907-1)</f>
        <v>-2.6441235233642946E-2</v>
      </c>
      <c r="C907">
        <f>IF(OR(Data!C908="",Data!C907=""),"",Data!C908/Data!C907-1)</f>
        <v>-8.1120557705735008E-3</v>
      </c>
      <c r="D907">
        <f>IF(OR(Data!D908="",Data!D907=""),"",Data!D908/Data!D907-1)</f>
        <v>-1.6970298431142061E-2</v>
      </c>
    </row>
    <row r="908" spans="1:4" x14ac:dyDescent="0.35">
      <c r="A908" t="str">
        <f>Data!A909</f>
        <v>2025-06-25</v>
      </c>
      <c r="B908">
        <f>IF(OR(Data!B909="",Data!B908=""),"",Data!B909/Data!B908-1)</f>
        <v>1.5443353863702658E-2</v>
      </c>
      <c r="C908">
        <f>IF(OR(Data!C909="",Data!C908=""),"",Data!C909/Data!C908-1)</f>
        <v>-2.8467849931290701E-3</v>
      </c>
      <c r="D908">
        <f>IF(OR(Data!D909="",Data!D908=""),"",Data!D909/Data!D908-1)</f>
        <v>-2.4268611900194359E-2</v>
      </c>
    </row>
    <row r="909" spans="1:4" x14ac:dyDescent="0.35">
      <c r="A909" t="str">
        <f>Data!A910</f>
        <v>2025-06-26</v>
      </c>
      <c r="B909">
        <f>IF(OR(Data!B910="",Data!B909=""),"",Data!B910/Data!B909-1)</f>
        <v>1.3398417246353933E-2</v>
      </c>
      <c r="C909">
        <f>IF(OR(Data!C910="",Data!C909=""),"",Data!C910/Data!C909-1)</f>
        <v>-2.4654902339059426E-2</v>
      </c>
      <c r="D909">
        <f>IF(OR(Data!D910="",Data!D909=""),"",Data!D910/Data!D909-1)</f>
        <v>-1.7530774951287631E-2</v>
      </c>
    </row>
    <row r="910" spans="1:4" x14ac:dyDescent="0.35">
      <c r="A910" t="str">
        <f>Data!A911</f>
        <v>2025-06-27</v>
      </c>
      <c r="B910">
        <f>IF(OR(Data!B911="",Data!B910=""),"",Data!B911/Data!B910-1)</f>
        <v>4.4632566811864782E-2</v>
      </c>
      <c r="C910">
        <f>IF(OR(Data!C911="",Data!C910=""),"",Data!C911/Data!C910-1)</f>
        <v>-1.1731295349113768E-2</v>
      </c>
      <c r="D910">
        <f>IF(OR(Data!D911="",Data!D910=""),"",Data!D911/Data!D910-1)</f>
        <v>-1.5502240872099726E-2</v>
      </c>
    </row>
    <row r="911" spans="1:4" x14ac:dyDescent="0.35">
      <c r="A911" t="str">
        <f>Data!A912</f>
        <v>2025-06-30</v>
      </c>
      <c r="B911">
        <f>IF(OR(Data!B912="",Data!B911=""),"",Data!B912/Data!B911-1)</f>
        <v>-5.738791170092572E-3</v>
      </c>
      <c r="C911">
        <f>IF(OR(Data!C912="",Data!C911=""),"",Data!C912/Data!C911-1)</f>
        <v>1.486976221054781E-2</v>
      </c>
      <c r="D911">
        <f>IF(OR(Data!D912="",Data!D911=""),"",Data!D912/Data!D911-1)</f>
        <v>-1.5772288021222103E-2</v>
      </c>
    </row>
    <row r="912" spans="1:4" x14ac:dyDescent="0.35">
      <c r="A912" t="str">
        <f>Data!A913</f>
        <v>2025-07-01</v>
      </c>
      <c r="B912">
        <f>IF(OR(Data!B913="",Data!B912=""),"",Data!B913/Data!B912-1)</f>
        <v>4.7941614411846079E-3</v>
      </c>
      <c r="C912">
        <f>IF(OR(Data!C913="",Data!C912=""),"",Data!C913/Data!C912-1)</f>
        <v>2.482427769840112E-2</v>
      </c>
      <c r="D912">
        <f>IF(OR(Data!D913="",Data!D912=""),"",Data!D913/Data!D912-1)</f>
        <v>2.5879216937663596E-2</v>
      </c>
    </row>
    <row r="913" spans="1:4" x14ac:dyDescent="0.35">
      <c r="A913" t="str">
        <f>Data!A914</f>
        <v>2025-07-02</v>
      </c>
      <c r="B913">
        <f>IF(OR(Data!B914="",Data!B913=""),"",Data!B914/Data!B913-1)</f>
        <v>5.4025422746148966E-3</v>
      </c>
      <c r="C913">
        <f>IF(OR(Data!C914="",Data!C913=""),"",Data!C914/Data!C913-1)</f>
        <v>-1.8062619066614216E-2</v>
      </c>
      <c r="D913">
        <f>IF(OR(Data!D914="",Data!D913=""),"",Data!D914/Data!D913-1)</f>
        <v>-3.2070426261978202E-2</v>
      </c>
    </row>
    <row r="914" spans="1:4" x14ac:dyDescent="0.35">
      <c r="A914" t="str">
        <f>Data!A915</f>
        <v>2025-07-03</v>
      </c>
      <c r="B914">
        <f>IF(OR(Data!B915="",Data!B914=""),"",Data!B915/Data!B914-1)</f>
        <v>3.246481244838928E-2</v>
      </c>
      <c r="C914">
        <f>IF(OR(Data!C915="",Data!C914=""),"",Data!C915/Data!C914-1)</f>
        <v>-8.5624174136639253E-3</v>
      </c>
      <c r="D914">
        <f>IF(OR(Data!D915="",Data!D914=""),"",Data!D915/Data!D914-1)</f>
        <v>7.1919377165183818E-3</v>
      </c>
    </row>
    <row r="915" spans="1:4" x14ac:dyDescent="0.35">
      <c r="A915" t="str">
        <f>Data!A916</f>
        <v>2025-07-04</v>
      </c>
      <c r="B915">
        <f>IF(OR(Data!B916="",Data!B915=""),"",Data!B916/Data!B915-1)</f>
        <v>-1.5048861885138543E-3</v>
      </c>
      <c r="C915">
        <f>IF(OR(Data!C916="",Data!C915=""),"",Data!C916/Data!C915-1)</f>
        <v>-1.0873972460256898E-4</v>
      </c>
      <c r="D915">
        <f>IF(OR(Data!D916="",Data!D915=""),"",Data!D916/Data!D915-1)</f>
        <v>3.7785221872979502E-2</v>
      </c>
    </row>
    <row r="916" spans="1:4" x14ac:dyDescent="0.35">
      <c r="A916" t="str">
        <f>Data!A917</f>
        <v>2025-07-07</v>
      </c>
      <c r="B916">
        <f>IF(OR(Data!B917="",Data!B916=""),"",Data!B917/Data!B916-1)</f>
        <v>5.9981876559229708E-3</v>
      </c>
      <c r="C916">
        <f>IF(OR(Data!C917="",Data!C916=""),"",Data!C917/Data!C916-1)</f>
        <v>4.5000175623621796E-3</v>
      </c>
      <c r="D916">
        <f>IF(OR(Data!D917="",Data!D916=""),"",Data!D917/Data!D916-1)</f>
        <v>-1.4736354181102862E-2</v>
      </c>
    </row>
    <row r="917" spans="1:4" x14ac:dyDescent="0.35">
      <c r="A917" t="str">
        <f>Data!A918</f>
        <v>2025-07-08</v>
      </c>
      <c r="B917">
        <f>IF(OR(Data!B918="",Data!B917=""),"",Data!B918/Data!B917-1)</f>
        <v>1.263745624597723E-2</v>
      </c>
      <c r="C917">
        <f>IF(OR(Data!C918="",Data!C917=""),"",Data!C918/Data!C917-1)</f>
        <v>-1.1786469510470354E-2</v>
      </c>
      <c r="D917">
        <f>IF(OR(Data!D918="",Data!D917=""),"",Data!D918/Data!D917-1)</f>
        <v>-2.0768728898824529E-2</v>
      </c>
    </row>
    <row r="918" spans="1:4" x14ac:dyDescent="0.35">
      <c r="A918" t="str">
        <f>Data!A919</f>
        <v>2025-07-09</v>
      </c>
      <c r="B918">
        <f>IF(OR(Data!B919="",Data!B918=""),"",Data!B919/Data!B918-1)</f>
        <v>4.1405866665729096E-3</v>
      </c>
      <c r="C918">
        <f>IF(OR(Data!C919="",Data!C918=""),"",Data!C919/Data!C918-1)</f>
        <v>6.6706451465834427E-3</v>
      </c>
      <c r="D918">
        <f>IF(OR(Data!D919="",Data!D918=""),"",Data!D919/Data!D918-1)</f>
        <v>-6.3455942302701462E-3</v>
      </c>
    </row>
    <row r="919" spans="1:4" x14ac:dyDescent="0.35">
      <c r="A919" t="str">
        <f>Data!A920</f>
        <v>2025-07-10</v>
      </c>
      <c r="B919">
        <f>IF(OR(Data!B920="",Data!B919=""),"",Data!B920/Data!B919-1)</f>
        <v>-8.4924417574581135E-3</v>
      </c>
      <c r="C919">
        <f>IF(OR(Data!C920="",Data!C919=""),"",Data!C920/Data!C919-1)</f>
        <v>-6.7970099104847082E-3</v>
      </c>
      <c r="D919">
        <f>IF(OR(Data!D920="",Data!D919=""),"",Data!D920/Data!D919-1)</f>
        <v>3.6595485629875135E-2</v>
      </c>
    </row>
    <row r="920" spans="1:4" x14ac:dyDescent="0.35">
      <c r="A920" t="str">
        <f>Data!A921</f>
        <v>2025-07-11</v>
      </c>
      <c r="B920">
        <f>IF(OR(Data!B921="",Data!B920=""),"",Data!B921/Data!B920-1)</f>
        <v>4.2911940955709937E-3</v>
      </c>
      <c r="C920">
        <f>IF(OR(Data!C921="",Data!C920=""),"",Data!C921/Data!C920-1)</f>
        <v>7.0781009455123112E-5</v>
      </c>
      <c r="D920">
        <f>IF(OR(Data!D921="",Data!D920=""),"",Data!D921/Data!D920-1)</f>
        <v>6.3935456955648284E-3</v>
      </c>
    </row>
    <row r="921" spans="1:4" x14ac:dyDescent="0.35">
      <c r="A921" t="str">
        <f>Data!A922</f>
        <v>2025-07-14</v>
      </c>
      <c r="B921">
        <f>IF(OR(Data!B922="",Data!B921=""),"",Data!B922/Data!B921-1)</f>
        <v>2.2113338382622416E-2</v>
      </c>
      <c r="C921">
        <f>IF(OR(Data!C922="",Data!C921=""),"",Data!C922/Data!C921-1)</f>
        <v>8.5178462137334154E-3</v>
      </c>
      <c r="D921">
        <f>IF(OR(Data!D922="",Data!D921=""),"",Data!D922/Data!D921-1)</f>
        <v>-1.5268586396591344E-2</v>
      </c>
    </row>
    <row r="922" spans="1:4" x14ac:dyDescent="0.35">
      <c r="A922" t="str">
        <f>Data!A923</f>
        <v>2025-07-15</v>
      </c>
      <c r="B922">
        <f>IF(OR(Data!B923="",Data!B922=""),"",Data!B923/Data!B922-1)</f>
        <v>-1.9928968181820106E-2</v>
      </c>
      <c r="C922">
        <f>IF(OR(Data!C923="",Data!C922=""),"",Data!C923/Data!C922-1)</f>
        <v>3.8395590647666289E-4</v>
      </c>
      <c r="D922">
        <f>IF(OR(Data!D923="",Data!D922=""),"",Data!D923/Data!D922-1)</f>
        <v>1.5180342779619993E-2</v>
      </c>
    </row>
    <row r="923" spans="1:4" x14ac:dyDescent="0.35">
      <c r="A923" t="str">
        <f>Data!A924</f>
        <v>2025-07-16</v>
      </c>
      <c r="B923">
        <f>IF(OR(Data!B924="",Data!B923=""),"",Data!B924/Data!B923-1)</f>
        <v>3.064208925807721E-3</v>
      </c>
      <c r="C923">
        <f>IF(OR(Data!C924="",Data!C923=""),"",Data!C924/Data!C923-1)</f>
        <v>-6.2387437521500555E-3</v>
      </c>
      <c r="D923">
        <f>IF(OR(Data!D924="",Data!D923=""),"",Data!D924/Data!D923-1)</f>
        <v>-3.1995685415516895E-2</v>
      </c>
    </row>
    <row r="924" spans="1:4" x14ac:dyDescent="0.35">
      <c r="A924" t="str">
        <f>Data!A925</f>
        <v>2025-07-17</v>
      </c>
      <c r="B924">
        <f>IF(OR(Data!B925="",Data!B924=""),"",Data!B925/Data!B924-1)</f>
        <v>-1.3510500248340329E-2</v>
      </c>
      <c r="C924">
        <f>IF(OR(Data!C925="",Data!C924=""),"",Data!C925/Data!C924-1)</f>
        <v>-1.3557226678323486E-3</v>
      </c>
      <c r="D924">
        <f>IF(OR(Data!D925="",Data!D924=""),"",Data!D925/Data!D924-1)</f>
        <v>2.1212517754142235E-2</v>
      </c>
    </row>
    <row r="925" spans="1:4" x14ac:dyDescent="0.35">
      <c r="A925" t="str">
        <f>Data!A926</f>
        <v>2025-07-18</v>
      </c>
      <c r="B925">
        <f>IF(OR(Data!B926="",Data!B925=""),"",Data!B926/Data!B925-1)</f>
        <v>2.4598421385969793E-2</v>
      </c>
      <c r="C925">
        <f>IF(OR(Data!C926="",Data!C925=""),"",Data!C926/Data!C925-1)</f>
        <v>-1.0374301819002785E-3</v>
      </c>
      <c r="D925">
        <f>IF(OR(Data!D926="",Data!D925=""),"",Data!D926/Data!D925-1)</f>
        <v>1.2890646138745243E-2</v>
      </c>
    </row>
    <row r="926" spans="1:4" x14ac:dyDescent="0.35">
      <c r="A926" t="str">
        <f>Data!A927</f>
        <v>2025-07-21</v>
      </c>
      <c r="B926">
        <f>IF(OR(Data!B927="",Data!B926=""),"",Data!B927/Data!B926-1)</f>
        <v>-2.9616088700328502E-2</v>
      </c>
      <c r="C926">
        <f>IF(OR(Data!C927="",Data!C926=""),"",Data!C927/Data!C926-1)</f>
        <v>-5.2490104807842997E-3</v>
      </c>
      <c r="D926">
        <f>IF(OR(Data!D927="",Data!D926=""),"",Data!D927/Data!D926-1)</f>
        <v>-8.6466903132069728E-3</v>
      </c>
    </row>
    <row r="927" spans="1:4" x14ac:dyDescent="0.35">
      <c r="A927" t="str">
        <f>Data!A928</f>
        <v>2025-07-22</v>
      </c>
      <c r="B927">
        <f>IF(OR(Data!B928="",Data!B927=""),"",Data!B928/Data!B927-1)</f>
        <v>-1.0720727065890778E-2</v>
      </c>
      <c r="C927">
        <f>IF(OR(Data!C928="",Data!C927=""),"",Data!C928/Data!C927-1)</f>
        <v>-3.5879516687840063E-3</v>
      </c>
      <c r="D927">
        <f>IF(OR(Data!D928="",Data!D927=""),"",Data!D928/Data!D927-1)</f>
        <v>-2.4307202034762998E-2</v>
      </c>
    </row>
    <row r="928" spans="1:4" x14ac:dyDescent="0.35">
      <c r="A928" t="str">
        <f>Data!A929</f>
        <v>2025-07-23</v>
      </c>
      <c r="B928">
        <f>IF(OR(Data!B929="",Data!B928=""),"",Data!B929/Data!B928-1)</f>
        <v>7.9760533653439047E-3</v>
      </c>
      <c r="C928">
        <f>IF(OR(Data!C929="",Data!C928=""),"",Data!C929/Data!C928-1)</f>
        <v>2.4564043318457962E-2</v>
      </c>
      <c r="D928">
        <f>IF(OR(Data!D929="",Data!D928=""),"",Data!D929/Data!D928-1)</f>
        <v>-2.5714017727336613E-2</v>
      </c>
    </row>
    <row r="929" spans="1:4" x14ac:dyDescent="0.35">
      <c r="A929" t="str">
        <f>Data!A930</f>
        <v>2025-07-24</v>
      </c>
      <c r="B929">
        <f>IF(OR(Data!B930="",Data!B929=""),"",Data!B930/Data!B929-1)</f>
        <v>3.2218595787424809E-2</v>
      </c>
      <c r="C929">
        <f>IF(OR(Data!C930="",Data!C929=""),"",Data!C930/Data!C929-1)</f>
        <v>8.7393393548986786E-3</v>
      </c>
      <c r="D929">
        <f>IF(OR(Data!D930="",Data!D929=""),"",Data!D930/Data!D929-1)</f>
        <v>1.6732959909034451E-2</v>
      </c>
    </row>
    <row r="930" spans="1:4" x14ac:dyDescent="0.35">
      <c r="A930" t="str">
        <f>Data!A931</f>
        <v>2025-07-25</v>
      </c>
      <c r="B930">
        <f>IF(OR(Data!B931="",Data!B930=""),"",Data!B931/Data!B930-1)</f>
        <v>-9.1466543902851694E-4</v>
      </c>
      <c r="C930">
        <f>IF(OR(Data!C931="",Data!C930=""),"",Data!C931/Data!C930-1)</f>
        <v>-4.1360994116209637E-3</v>
      </c>
      <c r="D930">
        <f>IF(OR(Data!D931="",Data!D930=""),"",Data!D931/Data!D930-1)</f>
        <v>3.812834833150891E-2</v>
      </c>
    </row>
    <row r="931" spans="1:4" x14ac:dyDescent="0.35">
      <c r="A931" t="str">
        <f>Data!A932</f>
        <v>2025-07-28</v>
      </c>
      <c r="B931">
        <f>IF(OR(Data!B932="",Data!B931=""),"",Data!B932/Data!B931-1)</f>
        <v>-1.0647055024233465E-2</v>
      </c>
      <c r="C931">
        <f>IF(OR(Data!C932="",Data!C931=""),"",Data!C932/Data!C931-1)</f>
        <v>1.0799589340824367E-2</v>
      </c>
      <c r="D931">
        <f>IF(OR(Data!D932="",Data!D931=""),"",Data!D932/Data!D931-1)</f>
        <v>-1.8397851253126096E-2</v>
      </c>
    </row>
    <row r="932" spans="1:4" x14ac:dyDescent="0.35">
      <c r="A932" t="str">
        <f>Data!A933</f>
        <v>2025-07-29</v>
      </c>
      <c r="B932">
        <f>IF(OR(Data!B933="",Data!B932=""),"",Data!B933/Data!B932-1)</f>
        <v>3.8755379831552084E-2</v>
      </c>
      <c r="C932">
        <f>IF(OR(Data!C933="",Data!C932=""),"",Data!C933/Data!C932-1)</f>
        <v>-4.7086773914863933E-3</v>
      </c>
      <c r="D932">
        <f>IF(OR(Data!D933="",Data!D932=""),"",Data!D933/Data!D932-1)</f>
        <v>1.4404246715592262E-2</v>
      </c>
    </row>
    <row r="933" spans="1:4" x14ac:dyDescent="0.35">
      <c r="A933" t="str">
        <f>Data!A934</f>
        <v>2025-07-30</v>
      </c>
      <c r="B933">
        <f>IF(OR(Data!B934="",Data!B933=""),"",Data!B934/Data!B933-1)</f>
        <v>-2.815606914229285E-2</v>
      </c>
      <c r="C933">
        <f>IF(OR(Data!C934="",Data!C933=""),"",Data!C934/Data!C933-1)</f>
        <v>1.8045421488903646E-2</v>
      </c>
      <c r="D933">
        <f>IF(OR(Data!D934="",Data!D933=""),"",Data!D934/Data!D933-1)</f>
        <v>-6.0174265397240356E-2</v>
      </c>
    </row>
    <row r="934" spans="1:4" x14ac:dyDescent="0.35">
      <c r="A934" t="str">
        <f>Data!A935</f>
        <v>2025-07-31</v>
      </c>
      <c r="B934">
        <f>IF(OR(Data!B935="",Data!B934=""),"",Data!B935/Data!B934-1)</f>
        <v>-4.2640668591378383E-2</v>
      </c>
      <c r="C934">
        <f>IF(OR(Data!C935="",Data!C934=""),"",Data!C935/Data!C934-1)</f>
        <v>5.8491883157758551E-3</v>
      </c>
      <c r="D934">
        <f>IF(OR(Data!D935="",Data!D934=""),"",Data!D935/Data!D934-1)</f>
        <v>-1.684499535963957E-2</v>
      </c>
    </row>
    <row r="935" spans="1:4" x14ac:dyDescent="0.35">
      <c r="A935" t="str">
        <f>Data!A936</f>
        <v>2025-08-01</v>
      </c>
      <c r="B935">
        <f>IF(OR(Data!B936="",Data!B935=""),"",Data!B936/Data!B935-1)</f>
        <v>9.2428170735523452E-3</v>
      </c>
      <c r="C935">
        <f>IF(OR(Data!C936="",Data!C935=""),"",Data!C936/Data!C935-1)</f>
        <v>-1.3213460508844088E-3</v>
      </c>
      <c r="D935">
        <f>IF(OR(Data!D936="",Data!D935=""),"",Data!D936/Data!D935-1)</f>
        <v>-3.81664814946725E-4</v>
      </c>
    </row>
    <row r="936" spans="1:4" x14ac:dyDescent="0.35">
      <c r="A936" t="str">
        <f>Data!A937</f>
        <v>2025-08-04</v>
      </c>
      <c r="B936">
        <f>IF(OR(Data!B937="",Data!B936=""),"",Data!B937/Data!B936-1)</f>
        <v>-9.5947864733274546E-3</v>
      </c>
      <c r="C936">
        <f>IF(OR(Data!C937="",Data!C936=""),"",Data!C937/Data!C936-1)</f>
        <v>7.0279796740906342E-3</v>
      </c>
      <c r="D936">
        <f>IF(OR(Data!D937="",Data!D936=""),"",Data!D937/Data!D936-1)</f>
        <v>-2.6386248649935218E-2</v>
      </c>
    </row>
    <row r="937" spans="1:4" x14ac:dyDescent="0.35">
      <c r="A937" t="str">
        <f>Data!A938</f>
        <v>2025-08-05</v>
      </c>
      <c r="B937">
        <f>IF(OR(Data!B938="",Data!B937=""),"",Data!B938/Data!B937-1)</f>
        <v>-1.982539393854188E-2</v>
      </c>
      <c r="C937">
        <f>IF(OR(Data!C938="",Data!C937=""),"",Data!C938/Data!C937-1)</f>
        <v>-2.3006828727347051E-2</v>
      </c>
      <c r="D937">
        <f>IF(OR(Data!D938="",Data!D937=""),"",Data!D938/Data!D937-1)</f>
        <v>-2.7169257821422987E-2</v>
      </c>
    </row>
    <row r="938" spans="1:4" x14ac:dyDescent="0.35">
      <c r="A938" t="str">
        <f>Data!A939</f>
        <v>2025-08-06</v>
      </c>
      <c r="B938">
        <f>IF(OR(Data!B939="",Data!B938=""),"",Data!B939/Data!B938-1)</f>
        <v>1.4673757378639074E-2</v>
      </c>
      <c r="C938">
        <f>IF(OR(Data!C939="",Data!C938=""),"",Data!C939/Data!C938-1)</f>
        <v>-1.6476931176235499E-2</v>
      </c>
      <c r="D938">
        <f>IF(OR(Data!D939="",Data!D938=""),"",Data!D939/Data!D938-1)</f>
        <v>-1.929481092884644E-2</v>
      </c>
    </row>
    <row r="939" spans="1:4" x14ac:dyDescent="0.35">
      <c r="A939" t="str">
        <f>Data!A940</f>
        <v>2025-08-07</v>
      </c>
      <c r="B939">
        <f>IF(OR(Data!B940="",Data!B939=""),"",Data!B940/Data!B939-1)</f>
        <v>5.2899219234885386E-3</v>
      </c>
      <c r="C939">
        <f>IF(OR(Data!C940="",Data!C939=""),"",Data!C940/Data!C939-1)</f>
        <v>-1.7466892001736456E-2</v>
      </c>
      <c r="D939">
        <f>IF(OR(Data!D940="",Data!D939=""),"",Data!D940/Data!D939-1)</f>
        <v>9.3594438466979568E-3</v>
      </c>
    </row>
    <row r="940" spans="1:4" x14ac:dyDescent="0.35">
      <c r="A940" t="str">
        <f>Data!A941</f>
        <v>2025-08-08</v>
      </c>
      <c r="B940">
        <f>IF(OR(Data!B941="",Data!B940=""),"",Data!B941/Data!B940-1)</f>
        <v>-1.0822659086238695E-2</v>
      </c>
      <c r="C940">
        <f>IF(OR(Data!C941="",Data!C940=""),"",Data!C941/Data!C940-1)</f>
        <v>2.4346262398706742E-3</v>
      </c>
      <c r="D940">
        <f>IF(OR(Data!D941="",Data!D940=""),"",Data!D941/Data!D940-1)</f>
        <v>-5.0571718190677295E-3</v>
      </c>
    </row>
    <row r="941" spans="1:4" x14ac:dyDescent="0.35">
      <c r="A941" t="str">
        <f>Data!A942</f>
        <v>2025-08-11</v>
      </c>
      <c r="B941">
        <f>IF(OR(Data!B942="",Data!B941=""),"",Data!B942/Data!B941-1)</f>
        <v>-2.4890958460343948E-2</v>
      </c>
      <c r="C941">
        <f>IF(OR(Data!C942="",Data!C941=""),"",Data!C942/Data!C941-1)</f>
        <v>2.6623340405743878E-2</v>
      </c>
      <c r="D941">
        <f>IF(OR(Data!D942="",Data!D941=""),"",Data!D942/Data!D941-1)</f>
        <v>-6.4427796394342929E-2</v>
      </c>
    </row>
    <row r="942" spans="1:4" x14ac:dyDescent="0.35">
      <c r="A942" t="str">
        <f>Data!A943</f>
        <v>2025-08-12</v>
      </c>
      <c r="B942">
        <f>IF(OR(Data!B943="",Data!B942=""),"",Data!B943/Data!B942-1)</f>
        <v>1.8009569612013943E-2</v>
      </c>
      <c r="C942">
        <f>IF(OR(Data!C943="",Data!C942=""),"",Data!C943/Data!C942-1)</f>
        <v>3.4333335541818721E-2</v>
      </c>
      <c r="D942">
        <f>IF(OR(Data!D943="",Data!D942=""),"",Data!D943/Data!D942-1)</f>
        <v>-6.1123044885769584E-2</v>
      </c>
    </row>
    <row r="943" spans="1:4" x14ac:dyDescent="0.35">
      <c r="A943" t="str">
        <f>Data!A944</f>
        <v>2025-08-13</v>
      </c>
      <c r="B943">
        <f>IF(OR(Data!B944="",Data!B943=""),"",Data!B944/Data!B943-1)</f>
        <v>1.3494360179764575E-2</v>
      </c>
      <c r="C943">
        <f>IF(OR(Data!C944="",Data!C943=""),"",Data!C944/Data!C943-1)</f>
        <v>9.9070108772356669E-3</v>
      </c>
      <c r="D943">
        <f>IF(OR(Data!D944="",Data!D943=""),"",Data!D944/Data!D943-1)</f>
        <v>-1.7501007466684149E-2</v>
      </c>
    </row>
    <row r="944" spans="1:4" x14ac:dyDescent="0.35">
      <c r="A944" t="str">
        <f>Data!A945</f>
        <v>2025-08-14</v>
      </c>
      <c r="B944">
        <f>IF(OR(Data!B945="",Data!B944=""),"",Data!B945/Data!B944-1)</f>
        <v>-1.5826290056877301E-3</v>
      </c>
      <c r="C944">
        <f>IF(OR(Data!C945="",Data!C944=""),"",Data!C945/Data!C944-1)</f>
        <v>7.8306923052529065E-3</v>
      </c>
      <c r="D944">
        <f>IF(OR(Data!D945="",Data!D944=""),"",Data!D945/Data!D944-1)</f>
        <v>1.4382920712236125E-2</v>
      </c>
    </row>
    <row r="945" spans="1:4" x14ac:dyDescent="0.35">
      <c r="A945" t="str">
        <f>Data!A946</f>
        <v>2025-08-15</v>
      </c>
      <c r="B945">
        <f>IF(OR(Data!B946="",Data!B945=""),"",Data!B946/Data!B945-1)</f>
        <v>3.8038739085057838E-2</v>
      </c>
      <c r="C945">
        <f>IF(OR(Data!C946="",Data!C945=""),"",Data!C946/Data!C945-1)</f>
        <v>-2.6374439676367545E-2</v>
      </c>
      <c r="D945">
        <f>IF(OR(Data!D946="",Data!D945=""),"",Data!D946/Data!D945-1)</f>
        <v>-7.8612870675031532E-2</v>
      </c>
    </row>
    <row r="946" spans="1:4" x14ac:dyDescent="0.35">
      <c r="A946" t="str">
        <f>Data!A947</f>
        <v>2025-08-18</v>
      </c>
      <c r="B946">
        <f>IF(OR(Data!B947="",Data!B946=""),"",Data!B947/Data!B946-1)</f>
        <v>-2.0782754180037166E-2</v>
      </c>
      <c r="C946">
        <f>IF(OR(Data!C947="",Data!C946=""),"",Data!C947/Data!C946-1)</f>
        <v>-7.8217447174889765E-3</v>
      </c>
      <c r="D946">
        <f>IF(OR(Data!D947="",Data!D946=""),"",Data!D947/Data!D946-1)</f>
        <v>-1.4338235922254028E-2</v>
      </c>
    </row>
    <row r="947" spans="1:4" x14ac:dyDescent="0.35">
      <c r="A947" t="str">
        <f>Data!A948</f>
        <v>2025-08-19</v>
      </c>
      <c r="B947">
        <f>IF(OR(Data!B948="",Data!B947=""),"",Data!B948/Data!B947-1)</f>
        <v>-2.9661639293014574E-2</v>
      </c>
      <c r="C947">
        <f>IF(OR(Data!C948="",Data!C947=""),"",Data!C948/Data!C947-1)</f>
        <v>-1.1463101391529174E-2</v>
      </c>
      <c r="D947">
        <f>IF(OR(Data!D948="",Data!D947=""),"",Data!D948/Data!D947-1)</f>
        <v>-1.5122047612609379E-2</v>
      </c>
    </row>
    <row r="948" spans="1:4" x14ac:dyDescent="0.35">
      <c r="A948" t="str">
        <f>Data!A949</f>
        <v>2025-08-20</v>
      </c>
      <c r="B948">
        <f>IF(OR(Data!B949="",Data!B948=""),"",Data!B949/Data!B948-1)</f>
        <v>-1.3348626995721147E-2</v>
      </c>
      <c r="C948">
        <f>IF(OR(Data!C949="",Data!C948=""),"",Data!C949/Data!C948-1)</f>
        <v>-8.9846918197323822E-3</v>
      </c>
      <c r="D948">
        <f>IF(OR(Data!D949="",Data!D948=""),"",Data!D949/Data!D948-1)</f>
        <v>4.3103391921200274E-2</v>
      </c>
    </row>
    <row r="949" spans="1:4" x14ac:dyDescent="0.35">
      <c r="A949" t="str">
        <f>Data!A950</f>
        <v>2025-08-21</v>
      </c>
      <c r="B949">
        <f>IF(OR(Data!B950="",Data!B949=""),"",Data!B950/Data!B949-1)</f>
        <v>-5.1136880762869819E-4</v>
      </c>
      <c r="C949">
        <f>IF(OR(Data!C950="",Data!C949=""),"",Data!C950/Data!C949-1)</f>
        <v>-2.232011734410011E-3</v>
      </c>
      <c r="D949">
        <f>IF(OR(Data!D950="",Data!D949=""),"",Data!D950/Data!D949-1)</f>
        <v>-1.0940514492704612E-2</v>
      </c>
    </row>
    <row r="950" spans="1:4" x14ac:dyDescent="0.35">
      <c r="A950" t="str">
        <f>Data!A951</f>
        <v>2025-08-22</v>
      </c>
      <c r="B950">
        <f>IF(OR(Data!B951="",Data!B950=""),"",Data!B951/Data!B950-1)</f>
        <v>5.2805893982663665E-3</v>
      </c>
      <c r="C950">
        <f>IF(OR(Data!C951="",Data!C950=""),"",Data!C951/Data!C950-1)</f>
        <v>-6.7709994961240305E-3</v>
      </c>
      <c r="D950">
        <f>IF(OR(Data!D951="",Data!D950=""),"",Data!D951/Data!D950-1)</f>
        <v>1.2112633699695285E-2</v>
      </c>
    </row>
    <row r="951" spans="1:4" x14ac:dyDescent="0.35">
      <c r="A951" t="str">
        <f>Data!A952</f>
        <v>2025-08-25</v>
      </c>
      <c r="B951">
        <f>IF(OR(Data!B952="",Data!B951=""),"",Data!B952/Data!B951-1)</f>
        <v>-4.4147296485865795E-3</v>
      </c>
      <c r="C951">
        <f>IF(OR(Data!C952="",Data!C951=""),"",Data!C952/Data!C951-1)</f>
        <v>-2.8973762316773621E-2</v>
      </c>
      <c r="D951">
        <f>IF(OR(Data!D952="",Data!D951=""),"",Data!D952/Data!D951-1)</f>
        <v>4.799157047364E-3</v>
      </c>
    </row>
    <row r="952" spans="1:4" x14ac:dyDescent="0.35">
      <c r="A952" t="str">
        <f>Data!A953</f>
        <v>2025-08-26</v>
      </c>
      <c r="B952">
        <f>IF(OR(Data!B953="",Data!B952=""),"",Data!B953/Data!B952-1)</f>
        <v>7.4686749468515501E-3</v>
      </c>
      <c r="C952">
        <f>IF(OR(Data!C953="",Data!C952=""),"",Data!C953/Data!C952-1)</f>
        <v>1.1572412522171671E-2</v>
      </c>
      <c r="D952">
        <f>IF(OR(Data!D953="",Data!D952=""),"",Data!D953/Data!D952-1)</f>
        <v>-6.1401137611935219E-2</v>
      </c>
    </row>
    <row r="953" spans="1:4" x14ac:dyDescent="0.35">
      <c r="A953" t="str">
        <f>Data!A954</f>
        <v>2025-08-27</v>
      </c>
      <c r="B953">
        <f>IF(OR(Data!B954="",Data!B953=""),"",Data!B954/Data!B953-1)</f>
        <v>-2.4330079081485323E-2</v>
      </c>
      <c r="C953">
        <f>IF(OR(Data!C954="",Data!C953=""),"",Data!C954/Data!C953-1)</f>
        <v>-1.5679279454070549E-2</v>
      </c>
      <c r="D953">
        <f>IF(OR(Data!D954="",Data!D953=""),"",Data!D954/Data!D953-1)</f>
        <v>2.3876817588558641E-2</v>
      </c>
    </row>
    <row r="954" spans="1:4" x14ac:dyDescent="0.35">
      <c r="A954" t="str">
        <f>Data!A955</f>
        <v>2025-08-28</v>
      </c>
      <c r="B954">
        <f>IF(OR(Data!B955="",Data!B954=""),"",Data!B955/Data!B954-1)</f>
        <v>2.9708015510289343E-2</v>
      </c>
      <c r="C954">
        <f>IF(OR(Data!C955="",Data!C954=""),"",Data!C955/Data!C954-1)</f>
        <v>3.8836465328733194E-3</v>
      </c>
      <c r="D954">
        <f>IF(OR(Data!D955="",Data!D954=""),"",Data!D955/Data!D954-1)</f>
        <v>7.0364743119313289E-3</v>
      </c>
    </row>
    <row r="955" spans="1:4" x14ac:dyDescent="0.35">
      <c r="A955" t="str">
        <f>Data!A956</f>
        <v>2025-08-29</v>
      </c>
      <c r="B955">
        <f>IF(OR(Data!B956="",Data!B955=""),"",Data!B956/Data!B955-1)</f>
        <v>-1.2422596243842898E-3</v>
      </c>
      <c r="C955">
        <f>IF(OR(Data!C956="",Data!C955=""),"",Data!C956/Data!C955-1)</f>
        <v>3.1896832440287737E-2</v>
      </c>
      <c r="D955">
        <f>IF(OR(Data!D956="",Data!D955=""),"",Data!D956/Data!D955-1)</f>
        <v>1.5923624446417151E-2</v>
      </c>
    </row>
    <row r="956" spans="1:4" x14ac:dyDescent="0.35">
      <c r="A956" t="str">
        <f>Data!A957</f>
        <v>2025-09-01</v>
      </c>
      <c r="B956">
        <f>IF(OR(Data!B957="",Data!B956=""),"",Data!B957/Data!B956-1)</f>
        <v>2.3006908428412354E-2</v>
      </c>
      <c r="C956">
        <f>IF(OR(Data!C957="",Data!C956=""),"",Data!C957/Data!C956-1)</f>
        <v>-1.3412526129602864E-2</v>
      </c>
      <c r="D956">
        <f>IF(OR(Data!D957="",Data!D956=""),"",Data!D957/Data!D956-1)</f>
        <v>0.12562360277392948</v>
      </c>
    </row>
    <row r="957" spans="1:4" x14ac:dyDescent="0.35">
      <c r="A957" t="str">
        <f>Data!A958</f>
        <v>2025-09-02</v>
      </c>
      <c r="B957">
        <f>IF(OR(Data!B958="",Data!B957=""),"",Data!B958/Data!B957-1)</f>
        <v>7.2809347894899901E-3</v>
      </c>
      <c r="C957">
        <f>IF(OR(Data!C958="",Data!C957=""),"",Data!C958/Data!C957-1)</f>
        <v>-3.696625990945801E-2</v>
      </c>
      <c r="D957">
        <f>IF(OR(Data!D958="",Data!D957=""),"",Data!D958/Data!D957-1)</f>
        <v>-6.0092109938618576E-2</v>
      </c>
    </row>
    <row r="958" spans="1:4" x14ac:dyDescent="0.35">
      <c r="A958" t="str">
        <f>Data!A959</f>
        <v>2025-09-03</v>
      </c>
      <c r="B958">
        <f>IF(OR(Data!B959="",Data!B958=""),"",Data!B959/Data!B958-1)</f>
        <v>9.5802630103880571E-3</v>
      </c>
      <c r="C958">
        <f>IF(OR(Data!C959="",Data!C958=""),"",Data!C959/Data!C958-1)</f>
        <v>-3.9945279151545332E-3</v>
      </c>
      <c r="D958">
        <f>IF(OR(Data!D959="",Data!D958=""),"",Data!D959/Data!D958-1)</f>
        <v>5.3682146567078259E-2</v>
      </c>
    </row>
    <row r="959" spans="1:4" x14ac:dyDescent="0.35">
      <c r="A959" t="str">
        <f>Data!A960</f>
        <v>2025-09-04</v>
      </c>
      <c r="B959">
        <f>IF(OR(Data!B960="",Data!B959=""),"",Data!B960/Data!B959-1)</f>
        <v>1.1865369727542818E-2</v>
      </c>
      <c r="C959">
        <f>IF(OR(Data!C960="",Data!C959=""),"",Data!C960/Data!C959-1)</f>
        <v>1.6943940588946882E-2</v>
      </c>
      <c r="D959">
        <f>IF(OR(Data!D960="",Data!D959=""),"",Data!D960/Data!D959-1)</f>
        <v>-8.0410138276052479E-3</v>
      </c>
    </row>
    <row r="960" spans="1:4" x14ac:dyDescent="0.35">
      <c r="A960" t="str">
        <f>Data!A961</f>
        <v>2025-09-05</v>
      </c>
      <c r="B960">
        <f>IF(OR(Data!B961="",Data!B960=""),"",Data!B961/Data!B960-1)</f>
        <v>9.3979105470876068E-3</v>
      </c>
      <c r="C960">
        <f>IF(OR(Data!C961="",Data!C960=""),"",Data!C961/Data!C960-1)</f>
        <v>3.0107054266030442E-2</v>
      </c>
      <c r="D960">
        <f>IF(OR(Data!D961="",Data!D960=""),"",Data!D961/Data!D960-1)</f>
        <v>9.2120170160241432E-3</v>
      </c>
    </row>
    <row r="961" spans="1:9" x14ac:dyDescent="0.35">
      <c r="A961" t="str">
        <f>Data!A962</f>
        <v>2025-09-08</v>
      </c>
      <c r="B961">
        <f>IF(OR(Data!B962="",Data!B961=""),"",Data!B962/Data!B961-1)</f>
        <v>1.3343002935373383E-2</v>
      </c>
      <c r="C961">
        <f>IF(OR(Data!C962="",Data!C961=""),"",Data!C962/Data!C961-1)</f>
        <v>-1.7992015063333811E-2</v>
      </c>
      <c r="D961">
        <f>IF(OR(Data!D962="",Data!D961=""),"",Data!D962/Data!D961-1)</f>
        <v>-8.1486118093931914E-4</v>
      </c>
    </row>
    <row r="962" spans="1:9" x14ac:dyDescent="0.35">
      <c r="A962" t="str">
        <f>Data!A963</f>
        <v>2025-09-09</v>
      </c>
      <c r="B962">
        <f>IF(OR(Data!B963="",Data!B962=""),"",Data!B963/Data!B962-1)</f>
        <v>2.7350177668222564E-2</v>
      </c>
      <c r="C962">
        <f>IF(OR(Data!C963="",Data!C962=""),"",Data!C963/Data!C962-1)</f>
        <v>7.7680767626657765E-3</v>
      </c>
      <c r="D962">
        <f>IF(OR(Data!D963="",Data!D962=""),"",Data!D963/Data!D962-1)</f>
        <v>-1.2103267283254615E-2</v>
      </c>
    </row>
    <row r="963" spans="1:9" x14ac:dyDescent="0.35">
      <c r="A963" t="str">
        <f>Data!A964</f>
        <v>2025-09-10</v>
      </c>
      <c r="B963">
        <f>IF(OR(Data!B964="",Data!B963=""),"",Data!B964/Data!B963-1)</f>
        <v>4.3399195428908133E-3</v>
      </c>
      <c r="C963">
        <f>IF(OR(Data!C964="",Data!C963=""),"",Data!C964/Data!C963-1)</f>
        <v>-6.6699219528074671E-3</v>
      </c>
      <c r="D963">
        <f>IF(OR(Data!D964="",Data!D963=""),"",Data!D964/Data!D963-1)</f>
        <v>-1.6409006921201508E-2</v>
      </c>
    </row>
    <row r="964" spans="1:9" x14ac:dyDescent="0.35">
      <c r="A964" t="str">
        <f>Data!A965</f>
        <v>2025-09-11</v>
      </c>
      <c r="B964">
        <f>IF(OR(Data!B965="",Data!B964=""),"",Data!B965/Data!B964-1)</f>
        <v>1.4686869969148919E-2</v>
      </c>
      <c r="C964">
        <f>IF(OR(Data!C965="",Data!C964=""),"",Data!C965/Data!C964-1)</f>
        <v>-1.3007742540199763E-3</v>
      </c>
      <c r="D964">
        <f>IF(OR(Data!D965="",Data!D964=""),"",Data!D965/Data!D964-1)</f>
        <v>1.0489876230168171E-2</v>
      </c>
    </row>
    <row r="965" spans="1:9" x14ac:dyDescent="0.35">
      <c r="A965" t="str">
        <f>Data!A966</f>
        <v>2025-09-12</v>
      </c>
      <c r="B965">
        <f>IF(OR(Data!B966="",Data!B965=""),"",Data!B966/Data!B965-1)</f>
        <v>-1.3938873901958582E-3</v>
      </c>
      <c r="C965">
        <f>IF(OR(Data!C966="",Data!C965=""),"",Data!C966/Data!C965-1)</f>
        <v>4.076134284591193E-2</v>
      </c>
      <c r="D965">
        <f>IF(OR(Data!D966="",Data!D965=""),"",Data!D966/Data!D965-1)</f>
        <v>-4.3969126866264641E-2</v>
      </c>
    </row>
    <row r="966" spans="1:9" x14ac:dyDescent="0.35">
      <c r="A966" t="str">
        <f>Data!A967</f>
        <v>2025-09-15</v>
      </c>
      <c r="B966">
        <f>IF(OR(Data!B967="",Data!B966=""),"",Data!B967/Data!B966-1)</f>
        <v>2.9633118868761077E-2</v>
      </c>
      <c r="C966">
        <f>IF(OR(Data!C967="",Data!C966=""),"",Data!C967/Data!C966-1)</f>
        <v>-2.2011186388659176E-2</v>
      </c>
      <c r="D966">
        <f>IF(OR(Data!D967="",Data!D966=""),"",Data!D967/Data!D966-1)</f>
        <v>2.3335395637586132E-2</v>
      </c>
    </row>
    <row r="967" spans="1:9" x14ac:dyDescent="0.35">
      <c r="A967" t="str">
        <f>Data!A968</f>
        <v>2025-09-16</v>
      </c>
      <c r="B967">
        <f>IF(OR(Data!B968="",Data!B967=""),"",Data!B968/Data!B967-1)</f>
        <v>-1.304227923886081E-2</v>
      </c>
      <c r="C967">
        <f>IF(OR(Data!C968="",Data!C967=""),"",Data!C968/Data!C967-1)</f>
        <v>4.1021895177291157E-3</v>
      </c>
      <c r="D967">
        <f>IF(OR(Data!D968="",Data!D967=""),"",Data!D968/Data!D967-1)</f>
        <v>-1.1864800931290165E-2</v>
      </c>
    </row>
    <row r="968" spans="1:9" x14ac:dyDescent="0.35">
      <c r="A968" t="str">
        <f>Data!A969</f>
        <v>2025-09-17</v>
      </c>
      <c r="B968">
        <f>IF(OR(Data!B969="",Data!B968=""),"",Data!B969/Data!B968-1)</f>
        <v>3.7090178228165183E-2</v>
      </c>
      <c r="C968">
        <f>IF(OR(Data!C969="",Data!C968=""),"",Data!C969/Data!C968-1)</f>
        <v>7.3295709175558166E-3</v>
      </c>
      <c r="D968">
        <f>IF(OR(Data!D969="",Data!D968=""),"",Data!D969/Data!D968-1)</f>
        <v>-3.2802079665713357E-2</v>
      </c>
    </row>
    <row r="969" spans="1:9" x14ac:dyDescent="0.35">
      <c r="A969" t="str">
        <f>Data!A970</f>
        <v>2025-09-18</v>
      </c>
      <c r="B969">
        <f>IF(OR(Data!B970="",Data!B969=""),"",Data!B970/Data!B969-1)</f>
        <v>-4.0316178949095782E-4</v>
      </c>
      <c r="C969">
        <f>IF(OR(Data!C970="",Data!C969=""),"",Data!C970/Data!C969-1)</f>
        <v>1.6712281074801494E-2</v>
      </c>
      <c r="D969">
        <f>IF(OR(Data!D970="",Data!D969=""),"",Data!D970/Data!D969-1)</f>
        <v>-1.2866847897253897E-2</v>
      </c>
    </row>
    <row r="972" spans="1:9" x14ac:dyDescent="0.35">
      <c r="A972" s="1" t="s">
        <v>977</v>
      </c>
      <c r="B972">
        <f>AVERAGE(B2:B969)</f>
        <v>1.1507089834674185E-3</v>
      </c>
      <c r="C972">
        <f>AVERAGE(C2:C969)</f>
        <v>1.2605349009870285E-3</v>
      </c>
      <c r="D972">
        <f>AVERAGE(D2:D969)</f>
        <v>1.1767365756914212E-3</v>
      </c>
    </row>
    <row r="974" spans="1:9" x14ac:dyDescent="0.35">
      <c r="A974" s="1" t="s">
        <v>978</v>
      </c>
    </row>
    <row r="975" spans="1:9" x14ac:dyDescent="0.35">
      <c r="A975" s="1"/>
      <c r="B975" s="1" t="s">
        <v>1</v>
      </c>
      <c r="C975" s="1" t="s">
        <v>2</v>
      </c>
      <c r="D975" s="1" t="s">
        <v>3</v>
      </c>
    </row>
    <row r="976" spans="1:9" x14ac:dyDescent="0.35">
      <c r="A976" s="1" t="s">
        <v>1</v>
      </c>
      <c r="B976" s="4">
        <f>_xlfn.COVARIANCE.P(B2:B969,B2:B969)</f>
        <v>3.8391117716845522E-4</v>
      </c>
      <c r="C976" s="4">
        <f>_xlfn.COVARIANCE.P(B2:B969,C2:C969)</f>
        <v>-4.2926027213210749E-7</v>
      </c>
      <c r="D976" s="4">
        <f>_xlfn.COVARIANCE.P(B2:B969,D2:D969)</f>
        <v>-1.0035373815454639E-5</v>
      </c>
      <c r="G976" t="s">
        <v>991</v>
      </c>
      <c r="H976" t="s">
        <v>992</v>
      </c>
      <c r="I976" t="s">
        <v>993</v>
      </c>
    </row>
    <row r="977" spans="1:9" x14ac:dyDescent="0.35">
      <c r="A977" s="1" t="s">
        <v>2</v>
      </c>
      <c r="B977" s="4">
        <f>_xlfn.COVARIANCE.P(C2:C969,B2:B969)</f>
        <v>-4.2926027213210749E-7</v>
      </c>
      <c r="C977" s="4">
        <f>_xlfn.COVARIANCE.P(C2:C969,C2:C969)</f>
        <v>2.2665747235085595E-4</v>
      </c>
      <c r="D977" s="4">
        <f>_xlfn.COVARIANCE.P(C2:C969,D2:D969)</f>
        <v>-3.6775456448609276E-6</v>
      </c>
      <c r="G977" t="s">
        <v>992</v>
      </c>
      <c r="H977" t="s">
        <v>994</v>
      </c>
      <c r="I977" t="s">
        <v>995</v>
      </c>
    </row>
    <row r="978" spans="1:9" x14ac:dyDescent="0.35">
      <c r="A978" s="1" t="s">
        <v>3</v>
      </c>
      <c r="B978" s="4">
        <f>_xlfn.COVARIANCE.P(D2:D969,B2:B969)</f>
        <v>-1.0035373815454639E-5</v>
      </c>
      <c r="C978" s="4">
        <f>_xlfn.COVARIANCE.P(D2:D969,C2:C969)</f>
        <v>-3.6775456448609276E-6</v>
      </c>
      <c r="D978" s="4">
        <f>_xlfn.COVARIANCE.P(D2:D969,D2:D969)</f>
        <v>8.6967414941614273E-4</v>
      </c>
      <c r="G978" t="s">
        <v>993</v>
      </c>
      <c r="H978" t="s">
        <v>995</v>
      </c>
      <c r="I978" t="s">
        <v>996</v>
      </c>
    </row>
    <row r="981" spans="1:9" x14ac:dyDescent="0.35">
      <c r="A981" s="1" t="s">
        <v>979</v>
      </c>
    </row>
    <row r="982" spans="1:9" x14ac:dyDescent="0.35">
      <c r="A982" s="1" t="s">
        <v>980</v>
      </c>
      <c r="B982" s="5">
        <f>SQRT(MAX(0,B976))</f>
        <v>1.9593651450621839E-2</v>
      </c>
      <c r="C982" s="5">
        <v>0</v>
      </c>
      <c r="D982" s="5">
        <v>0</v>
      </c>
    </row>
    <row r="983" spans="1:9" x14ac:dyDescent="0.35">
      <c r="B983" s="5">
        <f>B977/B982</f>
        <v>-2.1908130458168591E-5</v>
      </c>
      <c r="C983" s="4">
        <f>SQRT(MAX(0,C977-POWER(B983,2)))</f>
        <v>1.5055131762448172E-2</v>
      </c>
      <c r="D983" s="5">
        <v>0</v>
      </c>
    </row>
    <row r="984" spans="1:9" x14ac:dyDescent="0.35">
      <c r="B984" s="5">
        <f>$B$978/$B$982</f>
        <v>-5.1217476439983055E-4</v>
      </c>
      <c r="C984" s="5">
        <f>(C978 - B984*B983)/C983</f>
        <v>-2.4501721370633403E-4</v>
      </c>
      <c r="D984" s="5">
        <f>SQRT(MAX(0, $D$978 - $B$984^2 - $C$984^2))</f>
        <v>2.9484772222146169E-2</v>
      </c>
    </row>
    <row r="987" spans="1:9" x14ac:dyDescent="0.35">
      <c r="A987" s="1" t="s">
        <v>981</v>
      </c>
    </row>
    <row r="988" spans="1:9" x14ac:dyDescent="0.35">
      <c r="A988" t="s">
        <v>1</v>
      </c>
      <c r="B988">
        <v>0.5</v>
      </c>
    </row>
    <row r="989" spans="1:9" x14ac:dyDescent="0.35">
      <c r="A989" t="s">
        <v>2</v>
      </c>
      <c r="B989">
        <v>0.2</v>
      </c>
    </row>
    <row r="990" spans="1:9" x14ac:dyDescent="0.35">
      <c r="A990" t="s">
        <v>3</v>
      </c>
      <c r="B990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21"/>
  <sheetViews>
    <sheetView topLeftCell="A5" workbookViewId="0">
      <selection activeCell="L28" sqref="L28"/>
    </sheetView>
  </sheetViews>
  <sheetFormatPr baseColWidth="10" defaultColWidth="8.90625" defaultRowHeight="14.5" x14ac:dyDescent="0.35"/>
  <cols>
    <col min="1" max="1" width="11.36328125" customWidth="1"/>
    <col min="2" max="15" width="11.36328125" bestFit="1" customWidth="1"/>
  </cols>
  <sheetData>
    <row r="1" spans="1:49" x14ac:dyDescent="0.35">
      <c r="K1" s="3">
        <v>10000</v>
      </c>
    </row>
    <row r="2" spans="1:49" x14ac:dyDescent="0.35">
      <c r="A2" s="3" t="s">
        <v>982</v>
      </c>
      <c r="B2" s="3" t="s">
        <v>983</v>
      </c>
      <c r="C2" s="3" t="s">
        <v>984</v>
      </c>
      <c r="D2" s="3" t="s">
        <v>985</v>
      </c>
      <c r="E2" s="3" t="s">
        <v>986</v>
      </c>
      <c r="F2" s="3" t="s">
        <v>987</v>
      </c>
      <c r="G2" s="3" t="s">
        <v>988</v>
      </c>
      <c r="H2" s="3" t="s">
        <v>989</v>
      </c>
      <c r="I2" s="3" t="s">
        <v>990</v>
      </c>
      <c r="K2" s="3" t="s">
        <v>982</v>
      </c>
      <c r="L2" s="3" t="s">
        <v>983</v>
      </c>
      <c r="M2" s="3" t="s">
        <v>984</v>
      </c>
      <c r="N2" s="3" t="s">
        <v>985</v>
      </c>
      <c r="O2" s="3" t="s">
        <v>986</v>
      </c>
      <c r="P2" s="3" t="s">
        <v>987</v>
      </c>
      <c r="Q2" s="3" t="s">
        <v>988</v>
      </c>
      <c r="R2" s="3" t="s">
        <v>989</v>
      </c>
      <c r="S2" s="3" t="s">
        <v>990</v>
      </c>
      <c r="U2" s="3" t="s">
        <v>982</v>
      </c>
      <c r="V2" s="3" t="s">
        <v>983</v>
      </c>
      <c r="W2" s="3" t="s">
        <v>984</v>
      </c>
      <c r="X2" s="3" t="s">
        <v>985</v>
      </c>
      <c r="Y2" s="3" t="s">
        <v>986</v>
      </c>
      <c r="Z2" s="3" t="s">
        <v>987</v>
      </c>
      <c r="AA2" s="3" t="s">
        <v>988</v>
      </c>
      <c r="AB2" s="3" t="s">
        <v>989</v>
      </c>
      <c r="AC2" s="3" t="s">
        <v>990</v>
      </c>
      <c r="AE2" s="3" t="s">
        <v>982</v>
      </c>
      <c r="AF2" s="3" t="s">
        <v>983</v>
      </c>
      <c r="AG2" s="3" t="s">
        <v>984</v>
      </c>
      <c r="AH2" s="3" t="s">
        <v>985</v>
      </c>
      <c r="AI2" s="3" t="s">
        <v>986</v>
      </c>
      <c r="AJ2" s="3" t="s">
        <v>987</v>
      </c>
      <c r="AK2" s="3" t="s">
        <v>988</v>
      </c>
      <c r="AL2" s="3" t="s">
        <v>989</v>
      </c>
      <c r="AM2" s="3" t="s">
        <v>990</v>
      </c>
      <c r="AO2" s="3" t="s">
        <v>982</v>
      </c>
      <c r="AP2" s="3" t="s">
        <v>983</v>
      </c>
      <c r="AQ2" s="3" t="s">
        <v>984</v>
      </c>
      <c r="AR2" s="3" t="s">
        <v>985</v>
      </c>
      <c r="AS2" s="3" t="s">
        <v>986</v>
      </c>
      <c r="AT2" s="3" t="s">
        <v>987</v>
      </c>
      <c r="AU2" s="3" t="s">
        <v>988</v>
      </c>
      <c r="AV2" s="3" t="s">
        <v>989</v>
      </c>
      <c r="AW2" s="3" t="s">
        <v>990</v>
      </c>
    </row>
    <row r="3" spans="1:49" x14ac:dyDescent="0.35">
      <c r="A3" s="3">
        <v>1</v>
      </c>
      <c r="B3">
        <f ca="1">_xlfn.NORM.S.INV(RAND())</f>
        <v>-0.2393472942479527</v>
      </c>
      <c r="C3">
        <f ca="1">_xlfn.NORM.S.INV(RAND())</f>
        <v>-0.73994049371328552</v>
      </c>
      <c r="D3">
        <f ca="1">_xlfn.NORM.S.INV(RAND())</f>
        <v>1.3566287889907085</v>
      </c>
      <c r="E3">
        <f ca="1">Calculations!$B$972 + Calculations!$B$982 * B3</f>
        <v>-3.5389784756763919E-3</v>
      </c>
      <c r="F3">
        <f ca="1">Calculations!$C$972 + Calculations!$B$983 * B3 + Calculations!$C$983 * C3</f>
        <v>-9.874123076490245E-3</v>
      </c>
      <c r="G3">
        <f ca="1">Calculations!$D$972 + Calculations!$B$984 * B3 + Calculations!$C$984 * C3 + Calculations!$D$984 * D3</f>
        <v>4.1480513211207756E-2</v>
      </c>
      <c r="H3">
        <f ca="1">Calculations!$B$988 * E3 + Calculations!$B$989 * F3 + Calculations!$B$990 * G3</f>
        <v>8.6998401102260821E-3</v>
      </c>
      <c r="I3">
        <f ca="1">$K$1 * (1 + H3)</f>
        <v>10086.998401102261</v>
      </c>
      <c r="K3" s="3">
        <v>1</v>
      </c>
      <c r="L3">
        <f ca="1">_xlfn.NORM.S.INV(RAND())</f>
        <v>-3.6560455348991154E-2</v>
      </c>
      <c r="M3">
        <f ca="1">_xlfn.NORM.S.INV(RAND())</f>
        <v>0.74942946853875547</v>
      </c>
      <c r="N3">
        <f ca="1">_xlfn.NORM.S.INV(RAND())</f>
        <v>7.3226001402309379E-2</v>
      </c>
      <c r="O3">
        <f ca="1">Calculations!$B$972 + Calculations!$B$982 * L3</f>
        <v>4.3435616448326295E-4</v>
      </c>
      <c r="P3">
        <f ca="1">Calculations!$C$972 + Calculations!$B$983 * L3 + Calculations!$C$983 * M3</f>
        <v>1.2544095267724894E-2</v>
      </c>
      <c r="Q3">
        <f ca="1">Calculations!$D$972 + Calculations!$B$984 * L3 + Calculations!$C$984 * M3 + Calculations!$D$984 * N3</f>
        <v>3.170890770131005E-3</v>
      </c>
      <c r="R3">
        <f ca="1">Calculations!$B$988 * O3 + Calculations!$B$989 * P3 + Calculations!$B$990 * Q3</f>
        <v>3.6772643668259121E-3</v>
      </c>
      <c r="S3">
        <f ca="1">$K$1 * (1 + R3)</f>
        <v>10036.772643668259</v>
      </c>
      <c r="U3" s="3">
        <v>1</v>
      </c>
      <c r="V3">
        <f ca="1">_xlfn.NORM.S.INV(RAND())</f>
        <v>-1.3670164414020205</v>
      </c>
      <c r="W3">
        <f ca="1">_xlfn.NORM.S.INV(RAND())</f>
        <v>0.5927190348100756</v>
      </c>
      <c r="X3">
        <f ca="1">_xlfn.NORM.S.INV(RAND())</f>
        <v>0.55293729032471139</v>
      </c>
      <c r="Y3">
        <f ca="1">Calculations!$B$972 + Calculations!$B$982 * V3</f>
        <v>-2.5634134696633185E-2</v>
      </c>
      <c r="Z3">
        <f ca="1">Calculations!$C$972 + Calculations!$B$983 * V3 + Calculations!$C$983 * W3</f>
        <v>1.0213946842700519E-2</v>
      </c>
      <c r="AA3">
        <f ca="1">Calculations!$D$972 + Calculations!$B$984 * V3 + Calculations!$C$984 * W3 + Calculations!$D$984 * X3</f>
        <v>1.8034891591432147E-2</v>
      </c>
      <c r="AB3">
        <f ca="1">Calculations!$B$988 * Y3 + Calculations!$B$989 * Z3 + Calculations!$B$990 * AA3</f>
        <v>-5.3638105023468439E-3</v>
      </c>
      <c r="AC3">
        <f ca="1">$K$1 * (1 + AB3)</f>
        <v>9946.3618949765314</v>
      </c>
      <c r="AE3" s="3">
        <v>1</v>
      </c>
      <c r="AF3">
        <f ca="1">_xlfn.NORM.S.INV(RAND())</f>
        <v>-3.5654831866565071</v>
      </c>
      <c r="AG3">
        <f ca="1">_xlfn.NORM.S.INV(RAND())</f>
        <v>-0.87812889467391297</v>
      </c>
      <c r="AH3">
        <f ca="1">_xlfn.NORM.S.INV(RAND())</f>
        <v>1.3313644141428806</v>
      </c>
      <c r="AI3">
        <f ca="1">Calculations!$B$972 + Calculations!$B$982 * AF3</f>
        <v>-6.8710125828932628E-2</v>
      </c>
      <c r="AJ3">
        <f ca="1">Calculations!$C$972 + Calculations!$B$983 * AF3 + Calculations!$C$983 * AG3</f>
        <v>-1.1881698241942025E-2</v>
      </c>
      <c r="AK3">
        <f ca="1">Calculations!$D$972 + Calculations!$B$984 * AF3 + Calculations!$C$984 * AG3 + Calculations!$D$984 * AH3</f>
        <v>4.2473020277510716E-2</v>
      </c>
      <c r="AL3">
        <f ca="1">Calculations!$B$988 * AI3 + Calculations!$B$989 * AJ3 + Calculations!$B$990 * AK3</f>
        <v>-2.3989496479601503E-2</v>
      </c>
      <c r="AM3">
        <f ca="1">$K$1 * (1 + AL3)</f>
        <v>9760.1050352039856</v>
      </c>
      <c r="AO3" s="3">
        <v>1</v>
      </c>
      <c r="AP3">
        <f ca="1">_xlfn.NORM.S.INV(RAND())</f>
        <v>-1.0137776622748647</v>
      </c>
      <c r="AQ3">
        <f ca="1">_xlfn.NORM.S.INV(RAND())</f>
        <v>-0.24991880471755767</v>
      </c>
      <c r="AR3">
        <f ca="1">_xlfn.NORM.S.INV(RAND())</f>
        <v>0.48410689041214378</v>
      </c>
      <c r="AS3">
        <f ca="1">Calculations!$B$972 + Calculations!$B$982 * AP3</f>
        <v>-1.8712897179572498E-2</v>
      </c>
      <c r="AT3">
        <f ca="1">Calculations!$C$972 + Calculations!$B$983 * AP3 + Calculations!$C$983 * AQ3</f>
        <v>-2.4798156606686611E-3</v>
      </c>
      <c r="AU3">
        <f ca="1">Calculations!$D$972 + Calculations!$B$984 * AP3 + Calculations!$C$984 * AQ3 + Calculations!$D$984 * AR3</f>
        <v>1.6030983715179109E-2</v>
      </c>
      <c r="AV3">
        <f ca="1">Calculations!$B$988 * AS3 + Calculations!$B$989 * AT3 + Calculations!$B$990 * AU3</f>
        <v>-5.0431166073662478E-3</v>
      </c>
      <c r="AW3">
        <f ca="1">$K$1 * (1 + AV3)</f>
        <v>9949.5688339263379</v>
      </c>
    </row>
    <row r="4" spans="1:49" x14ac:dyDescent="0.35">
      <c r="A4" s="3">
        <v>2</v>
      </c>
      <c r="B4">
        <f t="shared" ref="B4:D16" ca="1" si="0">_xlfn.NORM.S.INV(RAND())</f>
        <v>-1.1937676496339429</v>
      </c>
      <c r="C4">
        <f t="shared" ca="1" si="0"/>
        <v>-0.97248568629713716</v>
      </c>
      <c r="D4">
        <f t="shared" ca="1" si="0"/>
        <v>1.1070808505378351</v>
      </c>
      <c r="E4">
        <f ca="1">Calculations!$B$972 + Calculations!$B$982 * B4</f>
        <v>-2.2239558256488108E-2</v>
      </c>
      <c r="F4">
        <f ca="1">Calculations!$C$972 + Calculations!$B$983 * B4 + Calculations!$C$983 * C4</f>
        <v>-1.3354212025906288E-2</v>
      </c>
      <c r="G4">
        <f ca="1">Calculations!$D$972 + Calculations!$B$984 * B4 + Calculations!$C$984 * C4 + Calculations!$D$984 * D4</f>
        <v>3.4668456683224561E-2</v>
      </c>
      <c r="H4">
        <f ca="1">Calculations!$B$988 * E4 + Calculations!$B$989 * F4 + Calculations!$B$990 * G4</f>
        <v>-3.3900845284579439E-3</v>
      </c>
      <c r="I4">
        <f ca="1">I3 * (1 + H4)</f>
        <v>10052.802623884105</v>
      </c>
      <c r="K4" s="3">
        <v>2</v>
      </c>
      <c r="L4">
        <f t="shared" ref="L4:N16" ca="1" si="1">_xlfn.NORM.S.INV(RAND())</f>
        <v>-1.3417217527486072</v>
      </c>
      <c r="M4">
        <f t="shared" ca="1" si="1"/>
        <v>1.3029076395341013</v>
      </c>
      <c r="N4">
        <f t="shared" ca="1" si="1"/>
        <v>0.69269455604843932</v>
      </c>
      <c r="O4">
        <f ca="1">Calculations!$B$972 + Calculations!$B$982 * L4</f>
        <v>-2.5138519383606204E-2</v>
      </c>
      <c r="P4">
        <f ca="1">Calculations!$C$972 + Calculations!$B$983 * L4 + Calculations!$C$983 * M4</f>
        <v>2.0905375703671032E-2</v>
      </c>
      <c r="Q4">
        <f ca="1">Calculations!$D$972 + Calculations!$B$984 * L4 + Calculations!$C$984 * M4 + Calculations!$D$984 * N4</f>
        <v>2.1968639003349121E-2</v>
      </c>
      <c r="R4">
        <f ca="1">Calculations!$B$988 * O4 + Calculations!$B$989 * P4 + Calculations!$B$990 * Q4</f>
        <v>-1.7975928500641595E-3</v>
      </c>
      <c r="S4">
        <f ca="1">S3 * (1 + R4)</f>
        <v>10018.730612926282</v>
      </c>
      <c r="U4" s="3">
        <v>2</v>
      </c>
      <c r="V4">
        <f t="shared" ref="V4:X16" ca="1" si="2">_xlfn.NORM.S.INV(RAND())</f>
        <v>-0.62295884099455245</v>
      </c>
      <c r="W4">
        <f t="shared" ca="1" si="2"/>
        <v>-0.48523744863713908</v>
      </c>
      <c r="X4">
        <f t="shared" ca="1" si="2"/>
        <v>0.59850930411808878</v>
      </c>
      <c r="Y4">
        <f ca="1">Calculations!$B$972 + Calculations!$B$982 * V4</f>
        <v>-1.1055329415063193E-2</v>
      </c>
      <c r="Z4">
        <f ca="1">Calculations!$C$972 + Calculations!$B$983 * V4 + Calculations!$C$983 * W4</f>
        <v>-6.0311309607606993E-3</v>
      </c>
      <c r="AA4">
        <f ca="1">Calculations!$D$972 + Calculations!$B$984 * V4 + Calculations!$C$984 * W4 + Calculations!$D$984 * X4</f>
        <v>1.9261602405716696E-2</v>
      </c>
      <c r="AB4">
        <f ca="1">Calculations!$B$988 * Y4 + Calculations!$B$989 * Z4 + Calculations!$B$990 * AA4</f>
        <v>-9.5541017796872772E-4</v>
      </c>
      <c r="AC4">
        <f ca="1">AC3 * (1 + AB4)</f>
        <v>9936.8590395883111</v>
      </c>
      <c r="AE4" s="3">
        <v>2</v>
      </c>
      <c r="AF4">
        <f t="shared" ref="AF4:AH16" ca="1" si="3">_xlfn.NORM.S.INV(RAND())</f>
        <v>-0.19835361076952396</v>
      </c>
      <c r="AG4">
        <f t="shared" ca="1" si="3"/>
        <v>-0.62039235685018668</v>
      </c>
      <c r="AH4">
        <f t="shared" ca="1" si="3"/>
        <v>1.0921785404233457</v>
      </c>
      <c r="AI4">
        <f ca="1">Calculations!$B$972 + Calculations!$B$982 * AF4</f>
        <v>-2.7357625299229442E-3</v>
      </c>
      <c r="AJ4">
        <f ca="1">Calculations!$C$972 + Calculations!$B$983 * AF4 + Calculations!$C$983 * AG4</f>
        <v>-8.0752082190267103E-3</v>
      </c>
      <c r="AK4">
        <f ca="1">Calculations!$D$972 + Calculations!$B$984 * AF4 + Calculations!$C$984 * AG4 + Calculations!$D$984 * AH4</f>
        <v>3.3632970586533709E-2</v>
      </c>
      <c r="AL4">
        <f ca="1">Calculations!$B$988 * AI4 + Calculations!$B$989 * AJ4 + Calculations!$B$990 * AK4</f>
        <v>7.1069682671932987E-3</v>
      </c>
      <c r="AM4">
        <f ca="1">AM3 * (1 + AL4)</f>
        <v>9829.4697919736554</v>
      </c>
      <c r="AO4" s="3">
        <v>2</v>
      </c>
      <c r="AP4">
        <f t="shared" ref="AP4:AR16" ca="1" si="4">_xlfn.NORM.S.INV(RAND())</f>
        <v>0.11664365517898249</v>
      </c>
      <c r="AQ4">
        <f t="shared" ca="1" si="4"/>
        <v>-1.453323126461294</v>
      </c>
      <c r="AR4">
        <f t="shared" ca="1" si="4"/>
        <v>8.2534999618302143E-2</v>
      </c>
      <c r="AS4">
        <f ca="1">Calculations!$B$972 + Calculations!$B$982 * AP4</f>
        <v>3.4361841069709223E-3</v>
      </c>
      <c r="AT4">
        <f ca="1">Calculations!$C$972 + Calculations!$B$983 * AP4 + Calculations!$C$983 * AQ4</f>
        <v>-2.0621991705715659E-2</v>
      </c>
      <c r="AU4">
        <f ca="1">Calculations!$D$972 + Calculations!$B$984 * AP4 + Calculations!$C$984 * AQ4 + Calculations!$D$984 * AR4</f>
        <v>3.9066094862424752E-3</v>
      </c>
      <c r="AV4">
        <f ca="1">Calculations!$B$988 * AS4 + Calculations!$B$989 * AT4 + Calculations!$B$990 * AU4</f>
        <v>-1.2343234417849281E-3</v>
      </c>
      <c r="AW4">
        <f ca="1">AW3 * (1 + AV4)</f>
        <v>9937.2878478789698</v>
      </c>
    </row>
    <row r="5" spans="1:49" x14ac:dyDescent="0.35">
      <c r="A5" s="3">
        <v>3</v>
      </c>
      <c r="B5">
        <f t="shared" ca="1" si="0"/>
        <v>1.7264725540163903</v>
      </c>
      <c r="C5">
        <f t="shared" ca="1" si="0"/>
        <v>1.2632233387095264</v>
      </c>
      <c r="D5">
        <f t="shared" ca="1" si="0"/>
        <v>0.62752839323589937</v>
      </c>
      <c r="E5">
        <f ca="1">Calculations!$B$972 + Calculations!$B$982 * B5</f>
        <v>3.4978610445929453E-2</v>
      </c>
      <c r="F5">
        <f ca="1">Calculations!$C$972 + Calculations!$B$983 * B5 + Calculations!$C$983 * C5</f>
        <v>2.0240704924712805E-2</v>
      </c>
      <c r="G5">
        <f ca="1">Calculations!$D$972 + Calculations!$B$984 * B5 + Calculations!$C$984 * C5 + Calculations!$D$984 * D5</f>
        <v>1.8485501176845744E-2</v>
      </c>
      <c r="H5">
        <f ca="1">Calculations!$B$988 * E5 + Calculations!$B$989 * F5 + Calculations!$B$990 * G5</f>
        <v>2.7083096560961011E-2</v>
      </c>
      <c r="I5">
        <f t="shared" ref="I5:I16" ca="1" si="5">I4 * (1 + H5)</f>
        <v>10325.06364805504</v>
      </c>
      <c r="J5" s="3"/>
      <c r="K5" s="3">
        <v>3</v>
      </c>
      <c r="L5">
        <f t="shared" ca="1" si="1"/>
        <v>-1.6232125959474766</v>
      </c>
      <c r="M5">
        <f t="shared" ca="1" si="1"/>
        <v>0.26498053689648732</v>
      </c>
      <c r="N5">
        <f t="shared" ca="1" si="1"/>
        <v>-1.019480764456548</v>
      </c>
      <c r="O5">
        <f ca="1">Calculations!$B$972 + Calculations!$B$982 * L5</f>
        <v>-3.0653952851786494E-2</v>
      </c>
      <c r="P5">
        <f ca="1">Calculations!$C$972 + Calculations!$B$983 * L5 + Calculations!$C$983 * M5</f>
        <v>5.2854133517612643E-3</v>
      </c>
      <c r="Q5">
        <f ca="1">Calculations!$D$972 + Calculations!$B$984 * L5 + Calculations!$C$984 * M5 + Calculations!$D$984 * N5</f>
        <v>-2.8115977813105895E-2</v>
      </c>
      <c r="R5">
        <f ca="1">Calculations!$B$988 * O5 + Calculations!$B$989 * P5 + Calculations!$B$990 * Q5</f>
        <v>-2.2704687099472761E-2</v>
      </c>
      <c r="S5">
        <f t="shared" ref="S5:S16" ca="1" si="6">S4 * (1 + R5)</f>
        <v>9791.2584692258824</v>
      </c>
      <c r="U5" s="3">
        <v>3</v>
      </c>
      <c r="V5">
        <f t="shared" ca="1" si="2"/>
        <v>-5.2344219971436373E-2</v>
      </c>
      <c r="W5">
        <f t="shared" ca="1" si="2"/>
        <v>-1.6318943079057877</v>
      </c>
      <c r="X5">
        <f t="shared" ca="1" si="2"/>
        <v>-1.2231401374048809</v>
      </c>
      <c r="Y5">
        <f ca="1">Calculations!$B$972 + Calculations!$B$982 * V5</f>
        <v>1.2509458189241562E-4</v>
      </c>
      <c r="Z5">
        <f ca="1">Calculations!$C$972 + Calculations!$B$983 * V5 + Calculations!$C$983 * W5</f>
        <v>-2.3306702162923909E-2</v>
      </c>
      <c r="AA5">
        <f ca="1">Calculations!$D$972 + Calculations!$B$984 * V5 + Calculations!$C$984 * W5 + Calculations!$D$984 * X5</f>
        <v>-3.4460620186538192E-2</v>
      </c>
      <c r="AB5">
        <f ca="1">Calculations!$B$988 * Y5 + Calculations!$B$989 * Z5 + Calculations!$B$990 * AA5</f>
        <v>-1.4936979197600031E-2</v>
      </c>
      <c r="AC5">
        <f t="shared" ref="AC5:AC16" ca="1" si="7">AC4 * (1 + AB5)</f>
        <v>9788.432382824496</v>
      </c>
      <c r="AE5" s="3">
        <v>3</v>
      </c>
      <c r="AF5">
        <f t="shared" ca="1" si="3"/>
        <v>-8.830966092747658E-2</v>
      </c>
      <c r="AG5">
        <f t="shared" ca="1" si="3"/>
        <v>1.1391915502808647</v>
      </c>
      <c r="AH5">
        <f t="shared" ca="1" si="3"/>
        <v>0.99080539405495704</v>
      </c>
      <c r="AI5">
        <f ca="1">Calculations!$B$972 + Calculations!$B$982 * AF5</f>
        <v>-5.7959973246815566E-4</v>
      </c>
      <c r="AJ5">
        <f ca="1">Calculations!$C$972 + Calculations!$B$983 * AF5 + Calculations!$C$983 * AG5</f>
        <v>1.8413148492705363E-2</v>
      </c>
      <c r="AK5">
        <f ca="1">Calculations!$D$972 + Calculations!$B$984 * AF5 + Calculations!$C$984 * AG5 + Calculations!$D$984 * AH5</f>
        <v>3.0156516376127748E-2</v>
      </c>
      <c r="AL5">
        <f ca="1">Calculations!$B$988 * AI5 + Calculations!$B$989 * AJ5 + Calculations!$B$990 * AK5</f>
        <v>1.2439784745145319E-2</v>
      </c>
      <c r="AM5">
        <f t="shared" ref="AM5:AM16" ca="1" si="8">AM4 * (1 + AL5)</f>
        <v>9951.7462803447161</v>
      </c>
      <c r="AO5" s="3">
        <v>3</v>
      </c>
      <c r="AP5">
        <f t="shared" ca="1" si="4"/>
        <v>-0.29607134235871652</v>
      </c>
      <c r="AQ5">
        <f t="shared" ca="1" si="4"/>
        <v>-1.4677469904809268</v>
      </c>
      <c r="AR5">
        <f t="shared" ca="1" si="4"/>
        <v>-1.4555805643502788</v>
      </c>
      <c r="AS5">
        <f ca="1">Calculations!$B$972 + Calculations!$B$982 * AP5</f>
        <v>-4.6504097032270021E-3</v>
      </c>
      <c r="AT5">
        <f ca="1">Calculations!$C$972 + Calculations!$B$983 * AP5 + Calculations!$C$983 * AQ5</f>
        <v>-2.0830103065046766E-2</v>
      </c>
      <c r="AU5">
        <f ca="1">Calculations!$D$972 + Calculations!$B$984 * AP5 + Calculations!$C$984 * AQ5 + Calculations!$D$984 * AR5</f>
        <v>-4.1229461267107914E-2</v>
      </c>
      <c r="AV5">
        <f ca="1">Calculations!$B$988 * AS5 + Calculations!$B$989 * AT5 + Calculations!$B$990 * AU5</f>
        <v>-1.8860063844755227E-2</v>
      </c>
      <c r="AW5">
        <f t="shared" ref="AW5:AW16" ca="1" si="9">AW4 * (1 + AV5)</f>
        <v>9749.8699646242621</v>
      </c>
    </row>
    <row r="6" spans="1:49" x14ac:dyDescent="0.35">
      <c r="A6" s="3">
        <v>4</v>
      </c>
      <c r="B6">
        <f t="shared" ca="1" si="0"/>
        <v>-1.8683477366262227</v>
      </c>
      <c r="C6">
        <f t="shared" ca="1" si="0"/>
        <v>0.26666179886347852</v>
      </c>
      <c r="D6">
        <f t="shared" ca="1" si="0"/>
        <v>-0.47060900273095307</v>
      </c>
      <c r="E6">
        <f ca="1">Calculations!$B$972 + Calculations!$B$982 * B6</f>
        <v>-3.5457045356544994E-2</v>
      </c>
      <c r="F6">
        <f ca="1">Calculations!$C$972 + Calculations!$B$983 * B6 + Calculations!$C$983 * C6</f>
        <v>5.3160954248433808E-3</v>
      </c>
      <c r="G6">
        <f ca="1">Calculations!$D$972 + Calculations!$B$984 * B6 + Calculations!$C$984 * C6 + Calculations!$D$984 * D6</f>
        <v>-1.1807478844658052E-2</v>
      </c>
      <c r="H6">
        <f ca="1">Calculations!$B$988 * E6 + Calculations!$B$989 * F6 + Calculations!$B$990 * G6</f>
        <v>-2.0207547246701239E-2</v>
      </c>
      <c r="I6">
        <f t="shared" ca="1" si="5"/>
        <v>10116.41943656177</v>
      </c>
      <c r="K6" s="3">
        <v>4</v>
      </c>
      <c r="L6">
        <f t="shared" ca="1" si="1"/>
        <v>-0.17863690285700223</v>
      </c>
      <c r="M6">
        <f t="shared" ca="1" si="1"/>
        <v>-1.2935612741398033</v>
      </c>
      <c r="N6">
        <f t="shared" ca="1" si="1"/>
        <v>0.58680747881956385</v>
      </c>
      <c r="O6">
        <f ca="1">Calculations!$B$972 + Calculations!$B$982 * L6</f>
        <v>-2.3494402273312757E-3</v>
      </c>
      <c r="P6">
        <f ca="1">Calculations!$C$972 + Calculations!$B$983 * L6 + Calculations!$C$983 * M6</f>
        <v>-1.8210286923415617E-2</v>
      </c>
      <c r="Q6">
        <f ca="1">Calculations!$D$972 + Calculations!$B$984 * L6 + Calculations!$C$984 * M6 + Calculations!$D$984 * N6</f>
        <v>1.8887059519720174E-2</v>
      </c>
      <c r="R6">
        <f ca="1">Calculations!$B$988 * O6 + Calculations!$B$989 * P6 + Calculations!$B$990 * Q6</f>
        <v>8.4934035756729139E-4</v>
      </c>
      <c r="S6">
        <f t="shared" ca="1" si="6"/>
        <v>9799.5745801951689</v>
      </c>
      <c r="U6" s="3">
        <v>4</v>
      </c>
      <c r="V6">
        <f t="shared" ca="1" si="2"/>
        <v>-0.3834881267733834</v>
      </c>
      <c r="W6">
        <f t="shared" ca="1" si="2"/>
        <v>-1.594744309880304</v>
      </c>
      <c r="X6">
        <f t="shared" ca="1" si="2"/>
        <v>-1.8432845253998531</v>
      </c>
      <c r="Y6">
        <f ca="1">Calculations!$B$972 + Calculations!$B$982 * V6</f>
        <v>-6.3632237079821359E-3</v>
      </c>
      <c r="Z6">
        <f ca="1">Calculations!$C$972 + Calculations!$B$983 * V6 + Calculations!$C$983 * W6</f>
        <v>-2.2740149303764917E-2</v>
      </c>
      <c r="AA6">
        <f ca="1">Calculations!$D$972 + Calculations!$B$984 * V6 + Calculations!$C$984 * W6 + Calculations!$D$984 * X6</f>
        <v>-5.2584935047968857E-2</v>
      </c>
      <c r="AB6">
        <f ca="1">Calculations!$B$988 * Y6 + Calculations!$B$989 * Z6 + Calculations!$B$990 * AA6</f>
        <v>-2.3505122229134708E-2</v>
      </c>
      <c r="AC6">
        <f t="shared" ca="1" si="7"/>
        <v>9558.3540832345861</v>
      </c>
      <c r="AE6" s="3">
        <v>4</v>
      </c>
      <c r="AF6">
        <f t="shared" ca="1" si="3"/>
        <v>-1.2640138113176835</v>
      </c>
      <c r="AG6">
        <f t="shared" ca="1" si="3"/>
        <v>1.3912272857500465</v>
      </c>
      <c r="AH6">
        <f t="shared" ca="1" si="3"/>
        <v>-2.4244440300353869</v>
      </c>
      <c r="AI6">
        <f ca="1">Calculations!$B$972 + Calculations!$B$982 * AF6</f>
        <v>-2.3615937064263352E-2</v>
      </c>
      <c r="AJ6">
        <f ca="1">Calculations!$C$972 + Calculations!$B$983 * AF6 + Calculations!$C$983 * AG6</f>
        <v>2.2233337178946388E-2</v>
      </c>
      <c r="AK6">
        <f ca="1">Calculations!$D$972 + Calculations!$B$984 * AF6 + Calculations!$C$984 * AG6 + Calculations!$D$984 * AH6</f>
        <v>-7.0000922072420993E-2</v>
      </c>
      <c r="AL6">
        <f ca="1">Calculations!$B$988 * AI6 + Calculations!$B$989 * AJ6 + Calculations!$B$990 * AK6</f>
        <v>-2.8361577718068694E-2</v>
      </c>
      <c r="AM6">
        <f t="shared" ca="1" si="8"/>
        <v>9669.499054784219</v>
      </c>
      <c r="AO6" s="3">
        <v>4</v>
      </c>
      <c r="AP6">
        <f t="shared" ca="1" si="4"/>
        <v>-0.51287550517073788</v>
      </c>
      <c r="AQ6">
        <f t="shared" ca="1" si="4"/>
        <v>-0.69154180916461094</v>
      </c>
      <c r="AR6">
        <f t="shared" ca="1" si="4"/>
        <v>2.612833594090384E-2</v>
      </c>
      <c r="AS6">
        <f ca="1">Calculations!$B$972 + Calculations!$B$982 * AP6</f>
        <v>-8.898394902409618E-3</v>
      </c>
      <c r="AT6">
        <f ca="1">Calculations!$C$972 + Calculations!$B$983 * AP6 + Calculations!$C$983 * AQ6</f>
        <v>-9.1394820117518989E-3</v>
      </c>
      <c r="AU6">
        <f ca="1">Calculations!$D$972 + Calculations!$B$984 * AP6 + Calculations!$C$984 * AQ6 + Calculations!$D$984 * AR6</f>
        <v>2.3792461477229031E-3</v>
      </c>
      <c r="AV6">
        <f ca="1">Calculations!$B$988 * AS6 + Calculations!$B$989 * AT6 + Calculations!$B$990 * AU6</f>
        <v>-5.5633200092383185E-3</v>
      </c>
      <c r="AW6">
        <f t="shared" ca="1" si="9"/>
        <v>9695.6283179625971</v>
      </c>
    </row>
    <row r="7" spans="1:49" x14ac:dyDescent="0.35">
      <c r="A7" s="3">
        <v>5</v>
      </c>
      <c r="B7">
        <f t="shared" ca="1" si="0"/>
        <v>1.5383062260620326</v>
      </c>
      <c r="C7">
        <f t="shared" ca="1" si="0"/>
        <v>0.17296845271159253</v>
      </c>
      <c r="D7">
        <f t="shared" ca="1" si="0"/>
        <v>-0.14101296897998133</v>
      </c>
      <c r="E7">
        <f ca="1">Calculations!$B$972 + Calculations!$B$982 * B7</f>
        <v>3.1291745001248365E-2</v>
      </c>
      <c r="F7">
        <f ca="1">Calculations!$C$972 + Calculations!$B$983 * B7 + Calculations!$C$983 * C7</f>
        <v>3.8308963338216599E-3</v>
      </c>
      <c r="G7">
        <f ca="1">Calculations!$D$972 + Calculations!$B$984 * B7 + Calculations!$C$984 * C7 + Calculations!$D$984 * D7</f>
        <v>-3.8112605723024961E-3</v>
      </c>
      <c r="H7">
        <f ca="1">Calculations!$B$988 * E7 + Calculations!$B$989 * F7 + Calculations!$B$990 * G7</f>
        <v>1.5268673595697765E-2</v>
      </c>
      <c r="I7">
        <f t="shared" ca="1" si="5"/>
        <v>10270.883742895803</v>
      </c>
      <c r="K7" s="3">
        <v>5</v>
      </c>
      <c r="L7">
        <f t="shared" ca="1" si="1"/>
        <v>-0.84545897948367044</v>
      </c>
      <c r="M7">
        <f t="shared" ca="1" si="1"/>
        <v>1.9544692364463228</v>
      </c>
      <c r="N7">
        <f t="shared" ca="1" si="1"/>
        <v>-1.6526338457321452</v>
      </c>
      <c r="O7">
        <f ca="1">Calculations!$B$972 + Calculations!$B$982 * L7</f>
        <v>-1.5414919576334059E-2</v>
      </c>
      <c r="P7">
        <f ca="1">Calculations!$C$972 + Calculations!$B$983 * L7 + Calculations!$C$983 * M7</f>
        <v>3.0703849206957446E-2</v>
      </c>
      <c r="Q7">
        <f ca="1">Calculations!$D$972 + Calculations!$B$984 * L7 + Calculations!$C$984 * M7 + Calculations!$D$984 * N7</f>
        <v>-4.7596651785292383E-2</v>
      </c>
      <c r="R7">
        <f ca="1">Calculations!$B$988 * O7 + Calculations!$B$989 * P7 + Calculations!$B$990 * Q7</f>
        <v>-1.5845685482363255E-2</v>
      </c>
      <c r="S7">
        <f t="shared" ca="1" si="6"/>
        <v>9644.2936035364346</v>
      </c>
      <c r="U7" s="3">
        <v>5</v>
      </c>
      <c r="V7">
        <f t="shared" ca="1" si="2"/>
        <v>0.4395027927298169</v>
      </c>
      <c r="W7">
        <f t="shared" ca="1" si="2"/>
        <v>-0.15010071732454414</v>
      </c>
      <c r="X7">
        <f t="shared" ca="1" si="2"/>
        <v>1.1124555780229386</v>
      </c>
      <c r="Y7">
        <f ca="1">Calculations!$B$972 + Calculations!$B$982 * V7</f>
        <v>9.7621735157903452E-3</v>
      </c>
      <c r="Z7">
        <f ca="1">Calculations!$C$972 + Calculations!$B$983 * V7 + Calculations!$C$983 * W7</f>
        <v>-1.0088798604918246E-3</v>
      </c>
      <c r="AA7">
        <f ca="1">Calculations!$D$972 + Calculations!$B$984 * V7 + Calculations!$C$984 * W7 + Calculations!$D$984 * X7</f>
        <v>3.3788910921168439E-2</v>
      </c>
      <c r="AB7">
        <f ca="1">Calculations!$B$988 * Y7 + Calculations!$B$989 * Z7 + Calculations!$B$990 * AA7</f>
        <v>1.481598406214734E-2</v>
      </c>
      <c r="AC7">
        <f t="shared" ca="1" si="7"/>
        <v>9699.9705049921504</v>
      </c>
      <c r="AE7" s="3">
        <v>5</v>
      </c>
      <c r="AF7">
        <f t="shared" ca="1" si="3"/>
        <v>-0.25038982672888049</v>
      </c>
      <c r="AG7">
        <f t="shared" ca="1" si="3"/>
        <v>1.4274978841390209</v>
      </c>
      <c r="AH7">
        <f t="shared" ca="1" si="3"/>
        <v>-0.89910333525897335</v>
      </c>
      <c r="AI7">
        <f ca="1">Calculations!$B$972 + Calculations!$B$982 * AF7</f>
        <v>-3.7553420082398615E-3</v>
      </c>
      <c r="AJ7">
        <f ca="1">Calculations!$C$972 + Calculations!$B$983 * AF7 + Calculations!$C$983 * AG7</f>
        <v>2.2757189210305336E-2</v>
      </c>
      <c r="AK7">
        <f ca="1">Calculations!$D$972 + Calculations!$B$984 * AF7 + Calculations!$C$984 * AG7 + Calculations!$D$984 * AH7</f>
        <v>-2.5554638672221783E-2</v>
      </c>
      <c r="AL7">
        <f ca="1">Calculations!$B$988 * AI7 + Calculations!$B$989 * AJ7 + Calculations!$B$990 * AK7</f>
        <v>-4.9926247637253974E-3</v>
      </c>
      <c r="AM7">
        <f t="shared" ca="1" si="8"/>
        <v>9621.2228743504838</v>
      </c>
      <c r="AO7" s="3">
        <v>5</v>
      </c>
      <c r="AP7">
        <f t="shared" ca="1" si="4"/>
        <v>-0.15268792176984403</v>
      </c>
      <c r="AQ7">
        <f t="shared" ca="1" si="4"/>
        <v>-4.5096142297050501E-2</v>
      </c>
      <c r="AR7">
        <f t="shared" ca="1" si="4"/>
        <v>-0.53828184347859898</v>
      </c>
      <c r="AS7">
        <f ca="1">Calculations!$B$972 + Calculations!$B$982 * AP7</f>
        <v>-1.8410049364107196E-3</v>
      </c>
      <c r="AT7">
        <f ca="1">Calculations!$C$972 + Calculations!$B$983 * AP7 + Calculations!$C$983 * AQ7</f>
        <v>5.8495164363634139E-4</v>
      </c>
      <c r="AU7">
        <f ca="1">Calculations!$D$972 + Calculations!$B$984 * AP7 + Calculations!$C$984 * AQ7 + Calculations!$D$984 * AR7</f>
        <v>-1.4605128739098307E-2</v>
      </c>
      <c r="AV7">
        <f ca="1">Calculations!$B$988 * AS7 + Calculations!$B$989 * AT7 + Calculations!$B$990 * AU7</f>
        <v>-5.1850507612075832E-3</v>
      </c>
      <c r="AW7">
        <f t="shared" ca="1" si="9"/>
        <v>9645.3559929721596</v>
      </c>
    </row>
    <row r="8" spans="1:49" x14ac:dyDescent="0.35">
      <c r="A8" s="3">
        <v>6</v>
      </c>
      <c r="B8">
        <f t="shared" ca="1" si="0"/>
        <v>-0.69030184173666043</v>
      </c>
      <c r="C8">
        <f t="shared" ca="1" si="0"/>
        <v>-0.89591546780090792</v>
      </c>
      <c r="D8">
        <f t="shared" ca="1" si="0"/>
        <v>-1.0664193015261509</v>
      </c>
      <c r="E8">
        <f ca="1">Calculations!$B$972 + Calculations!$B$982 * B8</f>
        <v>-1.2374824699243024E-2</v>
      </c>
      <c r="F8">
        <f ca="1">Calculations!$C$972 + Calculations!$B$983 * B8 + Calculations!$C$983 * C8</f>
        <v>-1.2212467291966752E-2</v>
      </c>
      <c r="G8">
        <f ca="1">Calculations!$D$972 + Calculations!$B$984 * B8 + Calculations!$C$984 * C8 + Calculations!$D$984 * D8</f>
        <v>-2.9693323728314125E-2</v>
      </c>
      <c r="H8">
        <f ca="1">Calculations!$B$988 * E8 + Calculations!$B$989 * F8 + Calculations!$B$990 * G8</f>
        <v>-1.75379029265091E-2</v>
      </c>
      <c r="I8">
        <f t="shared" ca="1" si="5"/>
        <v>10090.753980843436</v>
      </c>
      <c r="K8" s="3">
        <v>6</v>
      </c>
      <c r="L8">
        <f t="shared" ca="1" si="1"/>
        <v>-0.72997193277301131</v>
      </c>
      <c r="M8">
        <f t="shared" ca="1" si="1"/>
        <v>-0.6881435233874208</v>
      </c>
      <c r="N8">
        <f t="shared" ca="1" si="1"/>
        <v>-0.72047871870871116</v>
      </c>
      <c r="O8">
        <f ca="1">Calculations!$B$972 + Calculations!$B$982 * L8</f>
        <v>-1.3152106636023722E-2</v>
      </c>
      <c r="P8">
        <f ca="1">Calculations!$C$972 + Calculations!$B$983 * L8 + Calculations!$C$983 * M8</f>
        <v>-9.0835641947519339E-3</v>
      </c>
      <c r="Q8">
        <f ca="1">Calculations!$D$972 + Calculations!$B$984 * L8 + Calculations!$C$984 * M8 + Calculations!$D$984 * N8</f>
        <v>-1.9523934124921698E-2</v>
      </c>
      <c r="R8">
        <f ca="1">Calculations!$B$988 * O8 + Calculations!$B$989 * P8 + Calculations!$B$990 * Q8</f>
        <v>-1.4249946394438757E-2</v>
      </c>
      <c r="S8">
        <f t="shared" ca="1" si="6"/>
        <v>9506.8629366738114</v>
      </c>
      <c r="U8" s="3">
        <v>6</v>
      </c>
      <c r="V8">
        <f t="shared" ca="1" si="2"/>
        <v>-0.82419435109864603</v>
      </c>
      <c r="W8">
        <f t="shared" ca="1" si="2"/>
        <v>0.17978094025193747</v>
      </c>
      <c r="X8">
        <f t="shared" ca="1" si="2"/>
        <v>1.1419936716873291</v>
      </c>
      <c r="Y8">
        <f ca="1">Calculations!$B$972 + Calculations!$B$982 * V8</f>
        <v>-1.499826785953089E-2</v>
      </c>
      <c r="Z8">
        <f ca="1">Calculations!$C$972 + Calculations!$B$983 * V8 + Calculations!$C$983 * W8</f>
        <v>3.9852172022235236E-3</v>
      </c>
      <c r="AA8">
        <f ca="1">Calculations!$D$972 + Calculations!$B$984 * V8 + Calculations!$C$984 * W8 + Calculations!$D$984 * X8</f>
        <v>3.5226241987060286E-2</v>
      </c>
      <c r="AB8">
        <f ca="1">Calculations!$B$988 * Y8 + Calculations!$B$989 * Z8 + Calculations!$B$990 * AA8</f>
        <v>3.865782106797346E-3</v>
      </c>
      <c r="AC8">
        <f t="shared" ca="1" si="7"/>
        <v>9737.4684774068101</v>
      </c>
      <c r="AE8" s="3">
        <v>6</v>
      </c>
      <c r="AF8">
        <f t="shared" ca="1" si="3"/>
        <v>0.72426502080014754</v>
      </c>
      <c r="AG8">
        <f t="shared" ca="1" si="3"/>
        <v>0.13590037370847191</v>
      </c>
      <c r="AH8">
        <f t="shared" ca="1" si="3"/>
        <v>1.4329649788467482</v>
      </c>
      <c r="AI8">
        <f ca="1">Calculations!$B$972 + Calculations!$B$982 * AF8</f>
        <v>1.5341705358902885E-2</v>
      </c>
      <c r="AJ8">
        <f ca="1">Calculations!$C$972 + Calculations!$B$983 * AF8 + Calculations!$C$983 * AG8</f>
        <v>3.2906656411720425E-3</v>
      </c>
      <c r="AK8">
        <f ca="1">Calculations!$D$972 + Calculations!$B$984 * AF8 + Calculations!$C$984 * AG8 + Calculations!$D$984 * AH8</f>
        <v>4.3023134382001241E-2</v>
      </c>
      <c r="AL8">
        <f ca="1">Calculations!$B$988 * AI8 + Calculations!$B$989 * AJ8 + Calculations!$B$990 * AK8</f>
        <v>2.1235926122286225E-2</v>
      </c>
      <c r="AM8">
        <f t="shared" ca="1" si="8"/>
        <v>9825.5384525162426</v>
      </c>
      <c r="AO8" s="3">
        <v>6</v>
      </c>
      <c r="AP8">
        <f t="shared" ca="1" si="4"/>
        <v>0.56518674879993325</v>
      </c>
      <c r="AQ8">
        <f t="shared" ca="1" si="4"/>
        <v>0.81138721088221066</v>
      </c>
      <c r="AR8">
        <f t="shared" ca="1" si="4"/>
        <v>1.2280685747154609</v>
      </c>
      <c r="AS8">
        <f ca="1">Calculations!$B$972 + Calculations!$B$982 * AP8</f>
        <v>1.2224781143963472E-2</v>
      </c>
      <c r="AT8">
        <f ca="1">Calculations!$C$972 + Calculations!$B$983 * AP8 + Calculations!$C$983 * AQ8</f>
        <v>1.3463694086158095E-2</v>
      </c>
      <c r="AU8">
        <f ca="1">Calculations!$D$972 + Calculations!$B$984 * AP8 + Calculations!$C$984 * AQ8 + Calculations!$D$984 * AR8</f>
        <v>3.6897780550796656E-2</v>
      </c>
      <c r="AV8">
        <f ca="1">Calculations!$B$988 * AS8 + Calculations!$B$989 * AT8 + Calculations!$B$990 * AU8</f>
        <v>1.9874463554452351E-2</v>
      </c>
      <c r="AW8">
        <f t="shared" ca="1" si="9"/>
        <v>9837.0522691242022</v>
      </c>
    </row>
    <row r="9" spans="1:49" x14ac:dyDescent="0.35">
      <c r="A9" s="3">
        <v>7</v>
      </c>
      <c r="B9">
        <f t="shared" ca="1" si="0"/>
        <v>-0.78631902632215267</v>
      </c>
      <c r="C9">
        <f t="shared" ca="1" si="0"/>
        <v>0.26690647761303998</v>
      </c>
      <c r="D9">
        <f t="shared" ca="1" si="0"/>
        <v>-0.74751907219921443</v>
      </c>
      <c r="E9">
        <f ca="1">Calculations!$B$972 + Calculations!$B$982 * B9</f>
        <v>-1.4256151947281179E-2</v>
      </c>
      <c r="F9">
        <f ca="1">Calculations!$C$972 + Calculations!$B$983 * B9 + Calculations!$C$983 * C9</f>
        <v>5.2960738695126746E-3</v>
      </c>
      <c r="G9">
        <f ca="1">Calculations!$D$972 + Calculations!$B$984 * B9 + Calculations!$C$984 * C9 + Calculations!$D$984 * D9</f>
        <v>-2.0526356919227721E-2</v>
      </c>
      <c r="H9">
        <f ca="1">Calculations!$B$988 * E9 + Calculations!$B$989 * F9 + Calculations!$B$990 * G9</f>
        <v>-1.222676827550637E-2</v>
      </c>
      <c r="I9">
        <f t="shared" ca="1" si="5"/>
        <v>9967.3766701945187</v>
      </c>
      <c r="K9" s="3">
        <v>7</v>
      </c>
      <c r="L9">
        <f t="shared" ca="1" si="1"/>
        <v>0.12406012563803634</v>
      </c>
      <c r="M9">
        <f t="shared" ca="1" si="1"/>
        <v>-1.3301828677118661</v>
      </c>
      <c r="N9">
        <f t="shared" ca="1" si="1"/>
        <v>0.20721509567270899</v>
      </c>
      <c r="O9">
        <f ca="1">Calculations!$B$972 + Calculations!$B$982 * L9</f>
        <v>3.5814998441394568E-3</v>
      </c>
      <c r="P9">
        <f ca="1">Calculations!$C$972 + Calculations!$B$983 * L9 + Calculations!$C$983 * M9</f>
        <v>-1.8768261365983415E-2</v>
      </c>
      <c r="Q9">
        <f ca="1">Calculations!$D$972 + Calculations!$B$984 * L9 + Calculations!$C$984 * M9 + Calculations!$D$984 * N9</f>
        <v>7.5488037069380599E-3</v>
      </c>
      <c r="R9">
        <f ca="1">Calculations!$B$988 * O9 + Calculations!$B$989 * P9 + Calculations!$B$990 * Q9</f>
        <v>3.0173876095446325E-4</v>
      </c>
      <c r="S9">
        <f t="shared" ca="1" si="6"/>
        <v>9509.7315257168884</v>
      </c>
      <c r="U9" s="3">
        <v>7</v>
      </c>
      <c r="V9">
        <f t="shared" ca="1" si="2"/>
        <v>2.0086716507037621</v>
      </c>
      <c r="W9">
        <f t="shared" ca="1" si="2"/>
        <v>-0.4605796968591766</v>
      </c>
      <c r="X9">
        <f t="shared" ca="1" si="2"/>
        <v>-0.39688215842930036</v>
      </c>
      <c r="Y9">
        <f ca="1">Calculations!$B$972 + Calculations!$B$982 * V9</f>
        <v>4.050792118610215E-2</v>
      </c>
      <c r="Z9">
        <f ca="1">Calculations!$C$972 + Calculations!$B$983 * V9 + Calculations!$C$983 * W9</f>
        <v>-5.7175593629075552E-3</v>
      </c>
      <c r="AA9">
        <f ca="1">Calculations!$D$972 + Calculations!$B$984 * V9 + Calculations!$C$984 * W9 + Calculations!$D$984 * X9</f>
        <v>-1.1441184440071903E-2</v>
      </c>
      <c r="AB9">
        <f ca="1">Calculations!$B$988 * Y9 + Calculations!$B$989 * Z9 + Calculations!$B$990 * AA9</f>
        <v>1.5678093388447993E-2</v>
      </c>
      <c r="AC9">
        <f t="shared" ca="1" si="7"/>
        <v>9890.1334175626616</v>
      </c>
      <c r="AE9" s="3">
        <v>7</v>
      </c>
      <c r="AF9">
        <f t="shared" ca="1" si="3"/>
        <v>1.5584386150807079</v>
      </c>
      <c r="AG9">
        <f t="shared" ca="1" si="3"/>
        <v>-2.4367338784716281</v>
      </c>
      <c r="AH9">
        <f t="shared" ca="1" si="3"/>
        <v>-0.78420956891185989</v>
      </c>
      <c r="AI9">
        <f ca="1">Calculations!$B$972 + Calculations!$B$982 * AF9</f>
        <v>3.1686212014548618E-2</v>
      </c>
      <c r="AJ9">
        <f ca="1">Calculations!$C$972 + Calculations!$B$983 * AF9 + Calculations!$C$983 * AG9</f>
        <v>-3.5458957185914942E-2</v>
      </c>
      <c r="AK9">
        <f ca="1">Calculations!$D$972 + Calculations!$B$984 * AF9 + Calculations!$C$984 * AG9 + Calculations!$D$984 * AH9</f>
        <v>-2.2146655123165819E-2</v>
      </c>
      <c r="AL9">
        <f ca="1">Calculations!$B$988 * AI9 + Calculations!$B$989 * AJ9 + Calculations!$B$990 * AK9</f>
        <v>2.1073180331415758E-3</v>
      </c>
      <c r="AM9">
        <f t="shared" ca="1" si="8"/>
        <v>9846.2439868825568</v>
      </c>
      <c r="AO9" s="3">
        <v>7</v>
      </c>
      <c r="AP9">
        <f t="shared" ca="1" si="4"/>
        <v>0.28575030712928395</v>
      </c>
      <c r="AQ9">
        <f t="shared" ca="1" si="4"/>
        <v>-0.32679189665903335</v>
      </c>
      <c r="AR9">
        <f t="shared" ca="1" si="4"/>
        <v>-0.52379890435815624</v>
      </c>
      <c r="AS9">
        <f ca="1">Calculations!$B$972 + Calculations!$B$982 * AP9</f>
        <v>6.7496009032667493E-3</v>
      </c>
      <c r="AT9">
        <f ca="1">Calculations!$C$972 + Calculations!$B$983 * AP9 + Calculations!$C$983 * AQ9</f>
        <v>-3.6656204171221151E-3</v>
      </c>
      <c r="AU9">
        <f ca="1">Calculations!$D$972 + Calculations!$B$984 * AP9 + Calculations!$C$984 * AQ9 + Calculations!$D$984 * AR9</f>
        <v>-1.4333639265768458E-2</v>
      </c>
      <c r="AV9">
        <f ca="1">Calculations!$B$988 * AS9 + Calculations!$B$989 * AT9 + Calculations!$B$990 * AU9</f>
        <v>-1.6584154115215854E-3</v>
      </c>
      <c r="AW9">
        <f t="shared" ca="1" si="9"/>
        <v>9820.7383500371434</v>
      </c>
    </row>
    <row r="10" spans="1:49" x14ac:dyDescent="0.35">
      <c r="A10" s="3">
        <v>8</v>
      </c>
      <c r="B10">
        <f t="shared" ca="1" si="0"/>
        <v>0.30493569669605741</v>
      </c>
      <c r="C10">
        <f t="shared" ca="1" si="0"/>
        <v>0.66720538512200012</v>
      </c>
      <c r="D10">
        <f t="shared" ca="1" si="0"/>
        <v>0.55279438098955047</v>
      </c>
      <c r="E10">
        <f ca="1">Calculations!$B$972 + Calculations!$B$982 * B10</f>
        <v>7.1255127393825054E-3</v>
      </c>
      <c r="F10">
        <f ca="1">Calculations!$C$972 + Calculations!$B$983 * B10 + Calculations!$C$983 * C10</f>
        <v>1.1298719315589147E-2</v>
      </c>
      <c r="G10">
        <f ca="1">Calculations!$D$972 + Calculations!$B$984 * B10 + Calculations!$C$984 * C10 + Calculations!$D$984 * D10</f>
        <v>1.7156095811805751E-2</v>
      </c>
      <c r="H10">
        <f ca="1">Calculations!$B$988 * E10 + Calculations!$B$989 * F10 + Calculations!$B$990 * G10</f>
        <v>1.0969328976350806E-2</v>
      </c>
      <c r="I10">
        <f t="shared" ca="1" si="5"/>
        <v>10076.712103921087</v>
      </c>
      <c r="K10" s="3">
        <v>8</v>
      </c>
      <c r="L10">
        <f t="shared" ca="1" si="1"/>
        <v>1.5295426371064893</v>
      </c>
      <c r="M10">
        <f t="shared" ca="1" si="1"/>
        <v>-1.8894578446334351</v>
      </c>
      <c r="N10">
        <f t="shared" ca="1" si="1"/>
        <v>1.3202745060674175</v>
      </c>
      <c r="O10">
        <f ca="1">Calculations!$B$972 + Calculations!$B$982 * L10</f>
        <v>3.1120034293796936E-2</v>
      </c>
      <c r="P10">
        <f ca="1">Calculations!$C$972 + Calculations!$B$983 * L10 + Calculations!$C$983 * M10</f>
        <v>-2.7219011329195724E-2</v>
      </c>
      <c r="Q10">
        <f ca="1">Calculations!$D$972 + Calculations!$B$984 * L10 + Calculations!$C$984 * M10 + Calculations!$D$984 * N10</f>
        <v>3.9784286214503917E-2</v>
      </c>
      <c r="R10">
        <f ca="1">Calculations!$B$988 * O10 + Calculations!$B$989 * P10 + Calculations!$B$990 * Q10</f>
        <v>2.2051500745410499E-2</v>
      </c>
      <c r="S10">
        <f t="shared" ca="1" si="6"/>
        <v>9719.435377544889</v>
      </c>
      <c r="U10" s="3">
        <v>8</v>
      </c>
      <c r="V10">
        <f t="shared" ca="1" si="2"/>
        <v>0.76407330284305008</v>
      </c>
      <c r="W10">
        <f t="shared" ca="1" si="2"/>
        <v>-1.5146475293674708</v>
      </c>
      <c r="X10">
        <f t="shared" ca="1" si="2"/>
        <v>1.2044198437063898</v>
      </c>
      <c r="Y10">
        <f ca="1">Calculations!$B$972 + Calculations!$B$982 * V10</f>
        <v>1.6121694962099566E-2</v>
      </c>
      <c r="Z10">
        <f ca="1">Calculations!$C$972 + Calculations!$B$983 * V10 + Calculations!$C$983 * W10</f>
        <v>-2.1559422644905121E-2</v>
      </c>
      <c r="AA10">
        <f ca="1">Calculations!$D$972 + Calculations!$B$984 * V10 + Calculations!$C$984 * W10 + Calculations!$D$984 * X10</f>
        <v>3.6668556980732174E-2</v>
      </c>
      <c r="AB10">
        <f ca="1">Calculations!$B$988 * Y10 + Calculations!$B$989 * Z10 + Calculations!$B$990 * AA10</f>
        <v>1.4749530046288411E-2</v>
      </c>
      <c r="AC10">
        <f t="shared" ca="1" si="7"/>
        <v>10036.008237566803</v>
      </c>
      <c r="AE10" s="3">
        <v>8</v>
      </c>
      <c r="AF10">
        <f t="shared" ca="1" si="3"/>
        <v>0.86001600537159995</v>
      </c>
      <c r="AG10">
        <f t="shared" ca="1" si="3"/>
        <v>-0.9809815901183141</v>
      </c>
      <c r="AH10">
        <f t="shared" ca="1" si="3"/>
        <v>2.4135045795817173E-2</v>
      </c>
      <c r="AI10">
        <f ca="1">Calculations!$B$972 + Calculations!$B$982 * AF10</f>
        <v>1.8001562834674668E-2</v>
      </c>
      <c r="AJ10">
        <f ca="1">Calculations!$C$972 + Calculations!$B$983 * AF10 + Calculations!$C$983 * AG10</f>
        <v>-1.3527113537621909E-2</v>
      </c>
      <c r="AK10">
        <f ca="1">Calculations!$D$972 + Calculations!$B$984 * AF10 + Calculations!$C$984 * AG10 + Calculations!$D$984 * AH10</f>
        <v>1.688231784528873E-3</v>
      </c>
      <c r="AL10">
        <f ca="1">Calculations!$B$988 * AI10 + Calculations!$B$989 * AJ10 + Calculations!$B$990 * AK10</f>
        <v>6.8018282451716141E-3</v>
      </c>
      <c r="AM10">
        <f t="shared" ca="1" si="8"/>
        <v>9913.216447341385</v>
      </c>
      <c r="AO10" s="3">
        <v>8</v>
      </c>
      <c r="AP10">
        <f t="shared" ca="1" si="4"/>
        <v>-0.91980782998129706</v>
      </c>
      <c r="AQ10">
        <f t="shared" ca="1" si="4"/>
        <v>-0.38938932551153305</v>
      </c>
      <c r="AR10">
        <f t="shared" ca="1" si="4"/>
        <v>-0.46067131389088384</v>
      </c>
      <c r="AS10">
        <f ca="1">Calculations!$B$972 + Calculations!$B$982 * AP10</f>
        <v>-1.6871685038738947E-2</v>
      </c>
      <c r="AT10">
        <f ca="1">Calculations!$C$972 + Calculations!$B$983 * AP10 + Calculations!$C$983 * AQ10</f>
        <v>-4.5816214315442475E-3</v>
      </c>
      <c r="AU10">
        <f ca="1">Calculations!$D$972 + Calculations!$B$984 * AP10 + Calculations!$C$984 * AQ10 + Calculations!$D$984 * AR10</f>
        <v>-1.1839542737460474E-2</v>
      </c>
      <c r="AV10">
        <f ca="1">Calculations!$B$988 * AS10 + Calculations!$B$989 * AT10 + Calculations!$B$990 * AU10</f>
        <v>-1.2904029626916464E-2</v>
      </c>
      <c r="AW10">
        <f t="shared" ca="1" si="9"/>
        <v>9694.0112514100692</v>
      </c>
    </row>
    <row r="11" spans="1:49" x14ac:dyDescent="0.35">
      <c r="A11" s="1">
        <v>9</v>
      </c>
      <c r="B11">
        <f t="shared" ca="1" si="0"/>
        <v>-0.58586907692115708</v>
      </c>
      <c r="C11">
        <f t="shared" ca="1" si="0"/>
        <v>1.1365170594680194</v>
      </c>
      <c r="D11">
        <f t="shared" ca="1" si="0"/>
        <v>-1.2379306205092291</v>
      </c>
      <c r="E11">
        <f ca="1">Calculations!$B$972 + Calculations!$B$982 * B11</f>
        <v>-1.0328605505423288E-2</v>
      </c>
      <c r="F11">
        <f ca="1">Calculations!$C$972 + Calculations!$B$983 * B11 + Calculations!$C$983 * C11</f>
        <v>1.8383784277716801E-2</v>
      </c>
      <c r="G11">
        <f ca="1">Calculations!$D$972 + Calculations!$B$984 * B11 + Calculations!$C$984 * C11 + Calculations!$D$984 * D11</f>
        <v>-3.53017646836426E-2</v>
      </c>
      <c r="H11">
        <f ca="1">Calculations!$B$988 * E11 + Calculations!$B$989 * F11 + Calculations!$B$990 * G11</f>
        <v>-1.2078075302261064E-2</v>
      </c>
      <c r="I11">
        <f t="shared" ca="1" si="5"/>
        <v>9955.0048163307238</v>
      </c>
      <c r="K11" s="1">
        <v>9</v>
      </c>
      <c r="L11">
        <f t="shared" ca="1" si="1"/>
        <v>-1.7827679423961782</v>
      </c>
      <c r="M11">
        <f t="shared" ca="1" si="1"/>
        <v>0.28013867640428403</v>
      </c>
      <c r="N11">
        <f t="shared" ca="1" si="1"/>
        <v>9.76247747818004E-2</v>
      </c>
      <c r="O11">
        <f ca="1">Calculations!$B$972 + Calculations!$B$982 * L11</f>
        <v>-3.3780224697185571E-2</v>
      </c>
      <c r="P11">
        <f ca="1">Calculations!$C$972 + Calculations!$B$983 * L11 + Calculations!$C$983 * M11</f>
        <v>5.5171166986700115E-3</v>
      </c>
      <c r="Q11">
        <f ca="1">Calculations!$D$972 + Calculations!$B$984 * L11 + Calculations!$C$984 * M11 + Calculations!$D$984 * N11</f>
        <v>4.899630776303501E-3</v>
      </c>
      <c r="R11">
        <f ca="1">Calculations!$B$988 * O11 + Calculations!$B$989 * P11 + Calculations!$B$990 * Q11</f>
        <v>-1.4316799775967731E-2</v>
      </c>
      <c r="S11">
        <f t="shared" ca="1" si="6"/>
        <v>9580.2841673091207</v>
      </c>
      <c r="U11" s="1">
        <v>9</v>
      </c>
      <c r="V11">
        <f t="shared" ca="1" si="2"/>
        <v>-2.0315328336171699</v>
      </c>
      <c r="W11">
        <f t="shared" ca="1" si="2"/>
        <v>0.99264742205142198</v>
      </c>
      <c r="X11">
        <f t="shared" ca="1" si="2"/>
        <v>2.7265721643412002</v>
      </c>
      <c r="Y11">
        <f ca="1">Calculations!$B$972 + Calculations!$B$982 * V11</f>
        <v>-3.8654437268921538E-2</v>
      </c>
      <c r="Z11">
        <f ca="1">Calculations!$C$972 + Calculations!$B$983 * V11 + Calculations!$C$983 * W11</f>
        <v>1.6249479719974626E-2</v>
      </c>
      <c r="AA11">
        <f ca="1">Calculations!$D$972 + Calculations!$B$984 * V11 + Calculations!$C$984 * W11 + Calculations!$D$984 * X11</f>
        <v>8.2366379933420372E-2</v>
      </c>
      <c r="AB11">
        <f ca="1">Calculations!$B$988 * Y11 + Calculations!$B$989 * Z11 + Calculations!$B$990 * AA11</f>
        <v>8.6325912895602701E-3</v>
      </c>
      <c r="AC11">
        <f t="shared" ca="1" si="7"/>
        <v>10122.644994860377</v>
      </c>
      <c r="AE11" s="1">
        <v>9</v>
      </c>
      <c r="AF11">
        <f t="shared" ca="1" si="3"/>
        <v>-0.26372456117681842</v>
      </c>
      <c r="AG11">
        <f t="shared" ca="1" si="3"/>
        <v>-2.3473012220999255E-2</v>
      </c>
      <c r="AH11">
        <f t="shared" ca="1" si="3"/>
        <v>-0.14225341460304511</v>
      </c>
      <c r="AI11">
        <f ca="1">Calculations!$B$972 + Calculations!$B$982 * AF11</f>
        <v>-4.0166181471993582E-3</v>
      </c>
      <c r="AJ11">
        <f ca="1">Calculations!$C$972 + Calculations!$B$983 * AF11 + Calculations!$C$983 * AG11</f>
        <v>9.1292332122961349E-4</v>
      </c>
      <c r="AK11">
        <f ca="1">Calculations!$D$972 + Calculations!$B$984 * AF11 + Calculations!$C$984 * AG11 + Calculations!$D$984 * AH11</f>
        <v>-2.8767485946630152E-3</v>
      </c>
      <c r="AL11">
        <f ca="1">Calculations!$B$988 * AI11 + Calculations!$B$989 * AJ11 + Calculations!$B$990 * AK11</f>
        <v>-2.6887489877526608E-3</v>
      </c>
      <c r="AM11">
        <f t="shared" ca="1" si="8"/>
        <v>9886.5622966532228</v>
      </c>
      <c r="AO11" s="1">
        <v>9</v>
      </c>
      <c r="AP11">
        <f t="shared" ca="1" si="4"/>
        <v>3.2241970020575973E-2</v>
      </c>
      <c r="AQ11">
        <f t="shared" ca="1" si="4"/>
        <v>-1.0251613186851676</v>
      </c>
      <c r="AR11">
        <f t="shared" ca="1" si="4"/>
        <v>-0.81851986913380059</v>
      </c>
      <c r="AS11">
        <f ca="1">Calculations!$B$972 + Calculations!$B$982 * AP11</f>
        <v>1.7824469061319828E-3</v>
      </c>
      <c r="AT11">
        <f ca="1">Calculations!$C$972 + Calculations!$B$983 * AP11 + Calculations!$C$983 * AQ11</f>
        <v>-1.4174110190868729E-2</v>
      </c>
      <c r="AU11">
        <f ca="1">Calculations!$D$972 + Calculations!$B$984 * AP11 + Calculations!$C$984 * AQ11 + Calculations!$D$984 * AR11</f>
        <v>-2.2722466678514904E-2</v>
      </c>
      <c r="AV11">
        <f ca="1">Calculations!$B$988 * AS11 + Calculations!$B$989 * AT11 + Calculations!$B$990 * AU11</f>
        <v>-8.7603385886622261E-3</v>
      </c>
      <c r="AW11">
        <f t="shared" ca="1" si="9"/>
        <v>9609.0884305654163</v>
      </c>
    </row>
    <row r="12" spans="1:49" x14ac:dyDescent="0.35">
      <c r="A12" s="3">
        <v>10</v>
      </c>
      <c r="B12">
        <f t="shared" ca="1" si="0"/>
        <v>-1.542187861594728</v>
      </c>
      <c r="C12">
        <f t="shared" ca="1" si="0"/>
        <v>-2.7445925776394643E-2</v>
      </c>
      <c r="D12">
        <f t="shared" ca="1" si="0"/>
        <v>0.68066552191439733</v>
      </c>
      <c r="E12">
        <f ca="1">Calculations!$B$972 + Calculations!$B$982 * B12</f>
        <v>-2.9066382447999514E-2</v>
      </c>
      <c r="F12">
        <f ca="1">Calculations!$C$972 + Calculations!$B$983 * B12 + Calculations!$C$983 * C12</f>
        <v>8.8111932494385576E-4</v>
      </c>
      <c r="G12">
        <f ca="1">Calculations!$D$972 + Calculations!$B$984 * B12 + Calculations!$C$984 * C12 + Calculations!$D$984 * D12</f>
        <v>2.2042598877739548E-2</v>
      </c>
      <c r="H12">
        <f ca="1">Calculations!$B$988 * E12 + Calculations!$B$989 * F12 + Calculations!$B$990 * G12</f>
        <v>-7.7441876956891214E-3</v>
      </c>
      <c r="I12">
        <f t="shared" ca="1" si="5"/>
        <v>9877.911390521569</v>
      </c>
      <c r="K12" s="3">
        <v>10</v>
      </c>
      <c r="L12">
        <f t="shared" ca="1" si="1"/>
        <v>-0.5942704680640285</v>
      </c>
      <c r="M12">
        <f t="shared" ca="1" si="1"/>
        <v>-2.0148521200810392</v>
      </c>
      <c r="N12">
        <f t="shared" ca="1" si="1"/>
        <v>-1.304653565516295</v>
      </c>
      <c r="O12">
        <f ca="1">Calculations!$B$972 + Calculations!$B$982 * L12</f>
        <v>-1.0493219435177052E-2</v>
      </c>
      <c r="P12">
        <f ca="1">Calculations!$C$972 + Calculations!$B$983 * L12 + Calculations!$C$983 * M12</f>
        <v>-2.906030989373928E-2</v>
      </c>
      <c r="Q12">
        <f ca="1">Calculations!$D$972 + Calculations!$B$984 * L12 + Calculations!$C$984 * M12 + Calculations!$D$984 * N12</f>
        <v>-3.6492632842904361E-2</v>
      </c>
      <c r="R12">
        <f ca="1">Calculations!$B$988 * O12 + Calculations!$B$989 * P12 + Calculations!$B$990 * Q12</f>
        <v>-2.2006461549207691E-2</v>
      </c>
      <c r="S12">
        <f t="shared" ca="1" si="6"/>
        <v>9369.4560121507493</v>
      </c>
      <c r="U12" s="3">
        <v>10</v>
      </c>
      <c r="V12">
        <f t="shared" ca="1" si="2"/>
        <v>0.21688965611515895</v>
      </c>
      <c r="W12">
        <f t="shared" ca="1" si="2"/>
        <v>-0.69175999841731683</v>
      </c>
      <c r="X12">
        <f t="shared" ca="1" si="2"/>
        <v>-0.66607361115933394</v>
      </c>
      <c r="Y12">
        <f ca="1">Calculations!$B$972 + Calculations!$B$982 * V12</f>
        <v>5.4003693086330743E-3</v>
      </c>
      <c r="Z12">
        <f ca="1">Calculations!$C$972 + Calculations!$B$983 * V12 + Calculations!$C$983 * W12</f>
        <v>-9.1587546700578129E-3</v>
      </c>
      <c r="AA12">
        <f ca="1">Calculations!$D$972 + Calculations!$B$984 * V12 + Calculations!$C$984 * W12 + Calculations!$D$984 * X12</f>
        <v>-1.840388443367973E-2</v>
      </c>
      <c r="AB12">
        <f ca="1">Calculations!$B$988 * Y12 + Calculations!$B$989 * Z12 + Calculations!$B$990 * AA12</f>
        <v>-4.6527316097989442E-3</v>
      </c>
      <c r="AC12">
        <f t="shared" ca="1" si="7"/>
        <v>10075.547044518016</v>
      </c>
      <c r="AE12" s="3">
        <v>10</v>
      </c>
      <c r="AF12">
        <f t="shared" ca="1" si="3"/>
        <v>1.8373398851518599</v>
      </c>
      <c r="AG12">
        <f t="shared" ca="1" si="3"/>
        <v>4.697771832444262E-4</v>
      </c>
      <c r="AH12">
        <f t="shared" ca="1" si="3"/>
        <v>-0.19556723240149998</v>
      </c>
      <c r="AI12">
        <f ca="1">Calculations!$B$972 + Calculations!$B$982 * AF12</f>
        <v>3.7150906289458517E-2</v>
      </c>
      <c r="AJ12">
        <f ca="1">Calculations!$C$972 + Calculations!$B$983 * AF12 + Calculations!$C$983 * AG12</f>
        <v>1.2273547764798617E-3</v>
      </c>
      <c r="AK12">
        <f ca="1">Calculations!$D$972 + Calculations!$B$984 * AF12 + Calculations!$C$984 * AG12 + Calculations!$D$984 * AH12</f>
        <v>-5.530672952078897E-3</v>
      </c>
      <c r="AL12">
        <f ca="1">Calculations!$B$988 * AI12 + Calculations!$B$989 * AJ12 + Calculations!$B$990 * AK12</f>
        <v>1.716172221440156E-2</v>
      </c>
      <c r="AM12">
        <f t="shared" ca="1" si="8"/>
        <v>10056.232732443761</v>
      </c>
      <c r="AO12" s="3">
        <v>10</v>
      </c>
      <c r="AP12">
        <f t="shared" ca="1" si="4"/>
        <v>-1.5422030103216799</v>
      </c>
      <c r="AQ12">
        <f t="shared" ca="1" si="4"/>
        <v>0.45825995123298735</v>
      </c>
      <c r="AR12">
        <f t="shared" ca="1" si="4"/>
        <v>-1.8205746141028385E-2</v>
      </c>
      <c r="AS12">
        <f ca="1">Calculations!$B$972 + Calculations!$B$982 * AP12</f>
        <v>-2.9066679266875332E-2</v>
      </c>
      <c r="AT12">
        <f ca="1">Calculations!$C$972 + Calculations!$B$983 * AP12 + Calculations!$C$983 * AQ12</f>
        <v>8.1934856329958332E-3</v>
      </c>
      <c r="AU12">
        <f ca="1">Calculations!$D$972 + Calculations!$B$984 * AP12 + Calculations!$C$984 * AQ12 + Calculations!$D$984 * AR12</f>
        <v>1.3175401846528916E-3</v>
      </c>
      <c r="AV12">
        <f ca="1">Calculations!$B$988 * AS12 + Calculations!$B$989 * AT12 + Calculations!$B$990 * AU12</f>
        <v>-1.2499380451442632E-2</v>
      </c>
      <c r="AW12">
        <f t="shared" ca="1" si="9"/>
        <v>9488.9807784802233</v>
      </c>
    </row>
    <row r="13" spans="1:49" x14ac:dyDescent="0.35">
      <c r="A13" s="3">
        <v>11</v>
      </c>
      <c r="B13">
        <f t="shared" ca="1" si="0"/>
        <v>0.92935752390683035</v>
      </c>
      <c r="C13">
        <f t="shared" ca="1" si="0"/>
        <v>0.80353566512581409</v>
      </c>
      <c r="D13">
        <f t="shared" ca="1" si="0"/>
        <v>-4.9603391647875548E-2</v>
      </c>
      <c r="E13">
        <f ca="1">Calculations!$B$972 + Calculations!$B$982 * B13</f>
        <v>1.9360216379910804E-2</v>
      </c>
      <c r="F13">
        <f ca="1">Calculations!$C$972 + Calculations!$B$983 * B13 + Calculations!$C$983 * C13</f>
        <v>1.3337509729406559E-2</v>
      </c>
      <c r="G13">
        <f ca="1">Calculations!$D$972 + Calculations!$B$984 * B13 + Calculations!$C$984 * C13 + Calculations!$D$984 * D13</f>
        <v>-9.586816691250805E-4</v>
      </c>
      <c r="H13">
        <f ca="1">Calculations!$B$988 * E13 + Calculations!$B$989 * F13 + Calculations!$B$990 * G13</f>
        <v>1.2060005635099189E-2</v>
      </c>
      <c r="I13">
        <f t="shared" ca="1" si="5"/>
        <v>9997.0390575542697</v>
      </c>
      <c r="K13" s="3">
        <v>11</v>
      </c>
      <c r="L13">
        <f t="shared" ca="1" si="1"/>
        <v>-0.92692132557258289</v>
      </c>
      <c r="M13">
        <f t="shared" ca="1" si="1"/>
        <v>-0.11531653973055975</v>
      </c>
      <c r="N13">
        <f t="shared" ca="1" si="1"/>
        <v>-1.0878803240188193</v>
      </c>
      <c r="O13">
        <f ca="1">Calculations!$B$972 + Calculations!$B$982 * L13</f>
        <v>-1.7011064391950138E-2</v>
      </c>
      <c r="P13">
        <f ca="1">Calculations!$C$972 + Calculations!$B$983 * L13 + Calculations!$C$983 * M13</f>
        <v>-4.5526368572103531E-4</v>
      </c>
      <c r="Q13">
        <f ca="1">Calculations!$D$972 + Calculations!$B$984 * L13 + Calculations!$C$984 * M13 + Calculations!$D$984 * N13</f>
        <v>-3.0396166734156682E-2</v>
      </c>
      <c r="R13">
        <f ca="1">Calculations!$B$988 * O13 + Calculations!$B$989 * P13 + Calculations!$B$990 * Q13</f>
        <v>-1.771543495336628E-2</v>
      </c>
      <c r="S13">
        <f t="shared" ca="1" si="6"/>
        <v>9203.472023619066</v>
      </c>
      <c r="U13" s="3">
        <v>11</v>
      </c>
      <c r="V13">
        <f t="shared" ca="1" si="2"/>
        <v>-7.5214131658817351E-2</v>
      </c>
      <c r="W13">
        <f t="shared" ca="1" si="2"/>
        <v>7.5153921556006503E-2</v>
      </c>
      <c r="X13">
        <f t="shared" ca="1" si="2"/>
        <v>-1.1130075975097136</v>
      </c>
      <c r="Y13">
        <f ca="1">Calculations!$B$972 + Calculations!$B$982 * V13</f>
        <v>-3.2301049641663012E-4</v>
      </c>
      <c r="Z13">
        <f ca="1">Calculations!$C$972 + Calculations!$B$983 * V13 + Calculations!$C$983 * W13</f>
        <v>2.3936348934860798E-3</v>
      </c>
      <c r="AA13">
        <f ca="1">Calculations!$D$972 + Calculations!$B$984 * V13 + Calculations!$C$984 * W13 + Calculations!$D$984 * X13</f>
        <v>-3.161993014269749E-2</v>
      </c>
      <c r="AB13">
        <f ca="1">Calculations!$B$988 * Y13 + Calculations!$B$989 * Z13 + Calculations!$B$990 * AA13</f>
        <v>-9.1687573123203445E-3</v>
      </c>
      <c r="AC13">
        <f t="shared" ca="1" si="7"/>
        <v>9983.1667988779645</v>
      </c>
      <c r="AE13" s="3">
        <v>11</v>
      </c>
      <c r="AF13">
        <f t="shared" ca="1" si="3"/>
        <v>0.12832939143859878</v>
      </c>
      <c r="AG13">
        <f t="shared" ca="1" si="3"/>
        <v>0.94432065720583658</v>
      </c>
      <c r="AH13">
        <f t="shared" ca="1" si="3"/>
        <v>2.291506101623511</v>
      </c>
      <c r="AI13">
        <f ca="1">Calculations!$B$972 + Calculations!$B$982 * AF13</f>
        <v>3.6651503501857374E-3</v>
      </c>
      <c r="AJ13">
        <f ca="1">Calculations!$C$972 + Calculations!$B$983 * AF13 + Calculations!$C$983 * AG13</f>
        <v>1.5474595364173296E-2</v>
      </c>
      <c r="AK13">
        <f ca="1">Calculations!$D$972 + Calculations!$B$984 * AF13 + Calculations!$C$984 * AG13 + Calculations!$D$984 * AH13</f>
        <v>6.8444170135619237E-2</v>
      </c>
      <c r="AL13">
        <f ca="1">Calculations!$B$988 * AI13 + Calculations!$B$989 * AJ13 + Calculations!$B$990 * AK13</f>
        <v>2.54607452886133E-2</v>
      </c>
      <c r="AM13">
        <f t="shared" ca="1" si="8"/>
        <v>10312.271912607528</v>
      </c>
      <c r="AO13" s="3">
        <v>11</v>
      </c>
      <c r="AP13">
        <f t="shared" ca="1" si="4"/>
        <v>-0.13774521626358346</v>
      </c>
      <c r="AQ13">
        <f t="shared" ca="1" si="4"/>
        <v>-0.63124942714853105</v>
      </c>
      <c r="AR13">
        <f t="shared" ca="1" si="4"/>
        <v>-0.11381962928127119</v>
      </c>
      <c r="AS13">
        <f ca="1">Calculations!$B$972 + Calculations!$B$982 * AP13</f>
        <v>-1.5482227729917628E-3</v>
      </c>
      <c r="AT13">
        <f ca="1">Calculations!$C$972 + Calculations!$B$983 * AP13 + Calculations!$C$983 * AQ13</f>
        <v>-8.2399906595361436E-3</v>
      </c>
      <c r="AU13">
        <f ca="1">Calculations!$D$972 + Calculations!$B$984 * AP13 + Calculations!$C$984 * AQ13 + Calculations!$D$984 * AR13</f>
        <v>-1.9539926685953213E-3</v>
      </c>
      <c r="AV13">
        <f ca="1">Calculations!$B$988 * AS13 + Calculations!$B$989 * AT13 + Calculations!$B$990 * AU13</f>
        <v>-3.0083073189817065E-3</v>
      </c>
      <c r="AW13">
        <f t="shared" ca="1" si="9"/>
        <v>9460.4350081546436</v>
      </c>
    </row>
    <row r="14" spans="1:49" x14ac:dyDescent="0.35">
      <c r="A14" s="3">
        <v>12</v>
      </c>
      <c r="B14">
        <f t="shared" ca="1" si="0"/>
        <v>0.51685288536447738</v>
      </c>
      <c r="C14">
        <f t="shared" ca="1" si="0"/>
        <v>-0.22257021993974788</v>
      </c>
      <c r="D14">
        <f t="shared" ca="1" si="0"/>
        <v>0.53586466480601636</v>
      </c>
      <c r="E14">
        <f ca="1">Calculations!$B$972 + Calculations!$B$982 * B14</f>
        <v>1.1277744270547193E-2</v>
      </c>
      <c r="F14">
        <f ca="1">Calculations!$C$972 + Calculations!$B$983 * B14 + Calculations!$C$983 * C14</f>
        <v>-2.1016123670431911E-3</v>
      </c>
      <c r="G14">
        <f ca="1">Calculations!$D$972 + Calculations!$B$984 * B14 + Calculations!$C$984 * C14 + Calculations!$D$984 * D14</f>
        <v>1.6766398689746241E-2</v>
      </c>
      <c r="H14">
        <f ca="1">Calculations!$B$988 * E14 + Calculations!$B$989 * F14 + Calculations!$B$990 * G14</f>
        <v>1.0248469268788831E-2</v>
      </c>
      <c r="I14">
        <f t="shared" ca="1" si="5"/>
        <v>10099.493405114496</v>
      </c>
      <c r="K14" s="3">
        <v>12</v>
      </c>
      <c r="L14">
        <f t="shared" ca="1" si="1"/>
        <v>-0.85383809836782754</v>
      </c>
      <c r="M14">
        <f t="shared" ca="1" si="1"/>
        <v>1.2941158718554036</v>
      </c>
      <c r="N14">
        <f t="shared" ca="1" si="1"/>
        <v>0.2695446304424946</v>
      </c>
      <c r="O14">
        <f ca="1">Calculations!$B$972 + Calculations!$B$982 * L14</f>
        <v>-1.5579097111213556E-2</v>
      </c>
      <c r="P14">
        <f ca="1">Calculations!$C$972 + Calculations!$B$983 * L14 + Calculations!$C$983 * M14</f>
        <v>2.0762325864094822E-2</v>
      </c>
      <c r="Q14">
        <f ca="1">Calculations!$D$972 + Calculations!$B$984 * L14 + Calculations!$C$984 * M14 + Calculations!$D$984 * N14</f>
        <v>9.2444322697229284E-3</v>
      </c>
      <c r="R14">
        <f ca="1">Calculations!$B$988 * O14 + Calculations!$B$989 * P14 + Calculations!$B$990 * Q14</f>
        <v>-8.6375370187093516E-4</v>
      </c>
      <c r="S14">
        <f t="shared" ca="1" si="6"/>
        <v>9195.5224905885989</v>
      </c>
      <c r="U14" s="3">
        <v>12</v>
      </c>
      <c r="V14">
        <f t="shared" ca="1" si="2"/>
        <v>-0.3366476728022037</v>
      </c>
      <c r="W14">
        <f t="shared" ca="1" si="2"/>
        <v>1.1502208729185683</v>
      </c>
      <c r="X14">
        <f t="shared" ca="1" si="2"/>
        <v>0.3967584660512774</v>
      </c>
      <c r="Y14">
        <f ca="1">Calculations!$B$972 + Calculations!$B$982 * V14</f>
        <v>-5.4454481790819458E-3</v>
      </c>
      <c r="Z14">
        <f ca="1">Calculations!$C$972 + Calculations!$B$983 * V14 + Calculations!$C$983 * W14</f>
        <v>1.8584637019828418E-2</v>
      </c>
      <c r="AA14">
        <f ca="1">Calculations!$D$972 + Calculations!$B$984 * V14 + Calculations!$C$984 * W14 + Calculations!$D$984 * X14</f>
        <v>1.2765668103495295E-2</v>
      </c>
      <c r="AB14">
        <f ca="1">Calculations!$B$988 * Y14 + Calculations!$B$989 * Z14 + Calculations!$B$990 * AA14</f>
        <v>4.8239037454732995E-3</v>
      </c>
      <c r="AC14">
        <f t="shared" ca="1" si="7"/>
        <v>10031.324634590757</v>
      </c>
      <c r="AE14" s="3">
        <v>12</v>
      </c>
      <c r="AF14">
        <f t="shared" ca="1" si="3"/>
        <v>2.0566367346023555</v>
      </c>
      <c r="AG14">
        <f t="shared" ca="1" si="3"/>
        <v>-0.44956771459213291</v>
      </c>
      <c r="AH14">
        <f t="shared" ca="1" si="3"/>
        <v>-0.37618659633358364</v>
      </c>
      <c r="AI14">
        <f ca="1">Calculations!$B$972 + Calculations!$B$982 * AF14</f>
        <v>4.1447732321811023E-2</v>
      </c>
      <c r="AJ14">
        <f ca="1">Calculations!$C$972 + Calculations!$B$983 * AF14 + Calculations!$C$983 * AG14</f>
        <v>-5.5528233442269561E-3</v>
      </c>
      <c r="AK14">
        <f ca="1">Calculations!$D$972 + Calculations!$B$984 * AF14 + Calculations!$C$984 * AG14 + Calculations!$D$984 * AH14</f>
        <v>-1.0858245136428048E-2</v>
      </c>
      <c r="AL14">
        <f ca="1">Calculations!$B$988 * AI14 + Calculations!$B$989 * AJ14 + Calculations!$B$990 * AK14</f>
        <v>1.6355827951131708E-2</v>
      </c>
      <c r="AM14">
        <f t="shared" ca="1" si="8"/>
        <v>10480.937657795426</v>
      </c>
      <c r="AO14" s="3">
        <v>12</v>
      </c>
      <c r="AP14">
        <f t="shared" ca="1" si="4"/>
        <v>1.5846276916150577</v>
      </c>
      <c r="AQ14">
        <f t="shared" ca="1" si="4"/>
        <v>-0.73691208934832098</v>
      </c>
      <c r="AR14">
        <f t="shared" ca="1" si="4"/>
        <v>0.16324401977913239</v>
      </c>
      <c r="AS14">
        <f ca="1">Calculations!$B$972 + Calculations!$B$982 * AP14</f>
        <v>3.2199351651976328E-2</v>
      </c>
      <c r="AT14">
        <f ca="1">Calculations!$C$972 + Calculations!$B$983 * AP14 + Calculations!$C$983 * AQ14</f>
        <v>-9.8684899316884532E-3</v>
      </c>
      <c r="AU14">
        <f ca="1">Calculations!$D$972 + Calculations!$B$984 * AP14 + Calculations!$C$984 * AQ14 + Calculations!$D$984 * AR14</f>
        <v>5.358899147770913E-3</v>
      </c>
      <c r="AV14">
        <f ca="1">Calculations!$B$988 * AS14 + Calculations!$B$989 * AT14 + Calculations!$B$990 * AU14</f>
        <v>1.5733647583981748E-2</v>
      </c>
      <c r="AW14">
        <f t="shared" ca="1" si="9"/>
        <v>9609.2821585641123</v>
      </c>
    </row>
    <row r="15" spans="1:49" x14ac:dyDescent="0.35">
      <c r="A15" s="3">
        <v>13</v>
      </c>
      <c r="B15">
        <f t="shared" ca="1" si="0"/>
        <v>-1.6779802592401252</v>
      </c>
      <c r="C15">
        <f t="shared" ca="1" si="0"/>
        <v>-0.22317667409372338</v>
      </c>
      <c r="D15">
        <f t="shared" ca="1" si="0"/>
        <v>-1.4927104526572468</v>
      </c>
      <c r="E15">
        <f ca="1">Calculations!$B$972 + Calculations!$B$982 * B15</f>
        <v>-3.1727051357107669E-2</v>
      </c>
      <c r="F15">
        <f ca="1">Calculations!$C$972 + Calculations!$B$983 * B15 + Calculations!$C$983 * C15</f>
        <v>-2.0626579233732666E-3</v>
      </c>
      <c r="G15">
        <f ca="1">Calculations!$D$972 + Calculations!$B$984 * B15 + Calculations!$C$984 * C15 + Calculations!$D$984 * D15</f>
        <v>-4.1921389843729631E-2</v>
      </c>
      <c r="H15">
        <f ca="1">Calculations!$B$988 * E15 + Calculations!$B$989 * F15 + Calculations!$B$990 * G15</f>
        <v>-2.8852474216347377E-2</v>
      </c>
      <c r="I15">
        <f t="shared" ca="1" si="5"/>
        <v>9808.0980320452582</v>
      </c>
      <c r="K15" s="3">
        <v>13</v>
      </c>
      <c r="L15">
        <f t="shared" ca="1" si="1"/>
        <v>1.6272217070907444</v>
      </c>
      <c r="M15">
        <f t="shared" ca="1" si="1"/>
        <v>-0.52083026676706856</v>
      </c>
      <c r="N15">
        <f t="shared" ca="1" si="1"/>
        <v>0.1083415495892729</v>
      </c>
      <c r="O15">
        <f ca="1">Calculations!$B$972 + Calculations!$B$982 * L15</f>
        <v>3.3033923945089326E-2</v>
      </c>
      <c r="P15">
        <f ca="1">Calculations!$C$972 + Calculations!$B$983 * L15 + Calculations!$C$983 * M15</f>
        <v>-6.6162827765055277E-3</v>
      </c>
      <c r="Q15">
        <f ca="1">Calculations!$D$972 + Calculations!$B$984 * L15 + Calculations!$C$984 * M15 + Calculations!$D$984 * N15</f>
        <v>3.6653529738471884E-3</v>
      </c>
      <c r="R15">
        <f ca="1">Calculations!$B$988 * O15 + Calculations!$B$989 * P15 + Calculations!$B$990 * Q15</f>
        <v>1.6293311309397714E-2</v>
      </c>
      <c r="S15">
        <f t="shared" ca="1" si="6"/>
        <v>9345.3480011803276</v>
      </c>
      <c r="U15" s="3">
        <v>13</v>
      </c>
      <c r="V15">
        <f t="shared" ca="1" si="2"/>
        <v>0.50286204946438429</v>
      </c>
      <c r="W15">
        <f t="shared" ca="1" si="2"/>
        <v>-1.2812034076014349</v>
      </c>
      <c r="X15">
        <f t="shared" ca="1" si="2"/>
        <v>-0.54163936510448629</v>
      </c>
      <c r="Y15">
        <f ca="1">Calculations!$B$972 + Calculations!$B$982 * V15</f>
        <v>1.1003612708417923E-2</v>
      </c>
      <c r="Z15">
        <f ca="1">Calculations!$C$972 + Calculations!$B$983 * V15 + Calculations!$C$983 * W15</f>
        <v>-1.8039167982332294E-2</v>
      </c>
      <c r="AA15">
        <f ca="1">Calculations!$D$972 + Calculations!$B$984 * V15 + Calculations!$C$984 * W15 + Calculations!$D$984 * X15</f>
        <v>-1.4737013093550695E-2</v>
      </c>
      <c r="AB15">
        <f ca="1">Calculations!$B$988 * Y15 + Calculations!$B$989 * Z15 + Calculations!$B$990 * AA15</f>
        <v>-2.5271311703227058E-3</v>
      </c>
      <c r="AC15">
        <f t="shared" ca="1" si="7"/>
        <v>10005.974161427057</v>
      </c>
      <c r="AE15" s="3">
        <v>13</v>
      </c>
      <c r="AF15">
        <f t="shared" ca="1" si="3"/>
        <v>9.3922879559661263E-2</v>
      </c>
      <c r="AG15">
        <f t="shared" ca="1" si="3"/>
        <v>-5.4729610467465675E-2</v>
      </c>
      <c r="AH15">
        <f t="shared" ca="1" si="3"/>
        <v>-0.628702722327518</v>
      </c>
      <c r="AI15">
        <f ca="1">Calculations!$B$972 + Calculations!$B$982 * AF15</f>
        <v>2.9910011487981553E-3</v>
      </c>
      <c r="AJ15">
        <f ca="1">Calculations!$C$972 + Calculations!$B$983 * AF15 + Calculations!$C$983 * AG15</f>
        <v>4.3451572939347011E-4</v>
      </c>
      <c r="AK15">
        <f ca="1">Calculations!$D$972 + Calculations!$B$984 * AF15 + Calculations!$C$984 * AG15 + Calculations!$D$984 * AH15</f>
        <v>-1.7395115219624908E-2</v>
      </c>
      <c r="AL15">
        <f ca="1">Calculations!$B$988 * AI15 + Calculations!$B$989 * AJ15 + Calculations!$B$990 * AK15</f>
        <v>-3.6361308456096999E-3</v>
      </c>
      <c r="AM15">
        <f t="shared" ca="1" si="8"/>
        <v>10442.827597087005</v>
      </c>
      <c r="AO15" s="3">
        <v>13</v>
      </c>
      <c r="AP15">
        <f t="shared" ca="1" si="4"/>
        <v>9.4055730210331909E-2</v>
      </c>
      <c r="AQ15">
        <f t="shared" ca="1" si="4"/>
        <v>1.3273956961662838</v>
      </c>
      <c r="AR15">
        <f t="shared" ca="1" si="4"/>
        <v>-0.5454750108390648</v>
      </c>
      <c r="AS15">
        <f ca="1">Calculations!$B$972 + Calculations!$B$982 * AP15</f>
        <v>2.9936041781423845E-3</v>
      </c>
      <c r="AT15">
        <f ca="1">Calculations!$C$972 + Calculations!$B$983 * AP15 + Calculations!$C$983 * AQ15</f>
        <v>2.1242591422469266E-2</v>
      </c>
      <c r="AU15">
        <f ca="1">Calculations!$D$972 + Calculations!$B$984 * AP15 + Calculations!$C$984 * AQ15 + Calculations!$D$984 * AR15</f>
        <v>-1.5279877638192491E-2</v>
      </c>
      <c r="AV15">
        <f ca="1">Calculations!$B$988 * AS15 + Calculations!$B$989 * AT15 + Calculations!$B$990 * AU15</f>
        <v>1.1613570821072993E-3</v>
      </c>
      <c r="AW15">
        <f t="shared" ca="1" si="9"/>
        <v>9620.4419664529287</v>
      </c>
    </row>
    <row r="16" spans="1:49" x14ac:dyDescent="0.35">
      <c r="A16" s="3">
        <v>14</v>
      </c>
      <c r="B16">
        <f t="shared" ca="1" si="0"/>
        <v>1.5206103776179198</v>
      </c>
      <c r="C16">
        <f t="shared" ca="1" si="0"/>
        <v>-0.81146537763275284</v>
      </c>
      <c r="D16">
        <f t="shared" ca="1" si="0"/>
        <v>-0.20530193363850546</v>
      </c>
      <c r="E16">
        <f ca="1">Calculations!$B$972 + Calculations!$B$982 * B16</f>
        <v>3.0945018714711395E-2</v>
      </c>
      <c r="F16">
        <f ca="1">Calculations!$C$972 + Calculations!$B$983 * B16 + Calculations!$C$983 * C16</f>
        <v>-1.0989497010467726E-2</v>
      </c>
      <c r="G16">
        <f ca="1">Calculations!$D$972 + Calculations!$B$984 * B16 + Calculations!$C$984 * C16 + Calculations!$D$984 * D16</f>
        <v>-5.4565394504597405E-3</v>
      </c>
      <c r="H16">
        <f ca="1">Calculations!$B$988 * E16 + Calculations!$B$989 * F16 + Calculations!$B$990 * G16</f>
        <v>1.163764812012423E-2</v>
      </c>
      <c r="I16">
        <f t="shared" ca="1" si="5"/>
        <v>9922.2412256698826</v>
      </c>
      <c r="K16" s="3">
        <v>14</v>
      </c>
      <c r="L16">
        <f t="shared" ca="1" si="1"/>
        <v>-2.1023684362954569</v>
      </c>
      <c r="M16">
        <f t="shared" ca="1" si="1"/>
        <v>0.39546861853129234</v>
      </c>
      <c r="N16">
        <f t="shared" ca="1" si="1"/>
        <v>-9.0996769357539836E-2</v>
      </c>
      <c r="O16">
        <f ca="1">Calculations!$B$972 + Calculations!$B$982 * L16</f>
        <v>-4.0042365378094628E-2</v>
      </c>
      <c r="P16">
        <f ca="1">Calculations!$C$972 + Calculations!$B$983 * L16 + Calculations!$C$983 * M16</f>
        <v>7.260426022862484E-3</v>
      </c>
      <c r="Q16">
        <f ca="1">Calculations!$D$972 + Calculations!$B$984 * L16 + Calculations!$C$984 * M16 + Calculations!$D$984 * N16</f>
        <v>-5.2639900224637571E-4</v>
      </c>
      <c r="R16">
        <f ca="1">Calculations!$B$988 * O16 + Calculations!$B$989 * P16 + Calculations!$B$990 * Q16</f>
        <v>-1.8727017185148732E-2</v>
      </c>
      <c r="S16">
        <f t="shared" ca="1" si="6"/>
        <v>9170.3375085610296</v>
      </c>
      <c r="U16" s="3">
        <v>14</v>
      </c>
      <c r="V16">
        <f t="shared" ca="1" si="2"/>
        <v>2.5893982420218946</v>
      </c>
      <c r="W16">
        <f t="shared" ca="1" si="2"/>
        <v>-0.73057641645768534</v>
      </c>
      <c r="X16">
        <f t="shared" ca="1" si="2"/>
        <v>0.43345486360593527</v>
      </c>
      <c r="Y16">
        <f ca="1">Calculations!$B$972 + Calculations!$B$982 * V16</f>
        <v>5.1886475604497356E-2</v>
      </c>
      <c r="Z16">
        <f ca="1">Calculations!$C$972 + Calculations!$B$983 * V16 + Calculations!$C$983 * W16</f>
        <v>-9.7951181858150008E-3</v>
      </c>
      <c r="AA16">
        <f ca="1">Calculations!$D$972 + Calculations!$B$984 * V16 + Calculations!$C$984 * W16 + Calculations!$D$984 * X16</f>
        <v>1.2809833861108979E-2</v>
      </c>
      <c r="AB16">
        <f ca="1">Calculations!$B$988 * Y16 + Calculations!$B$989 * Z16 + Calculations!$B$990 * AA16</f>
        <v>2.782716432341837E-2</v>
      </c>
      <c r="AC16">
        <f t="shared" ca="1" si="7"/>
        <v>10284.412048632967</v>
      </c>
      <c r="AE16" s="3">
        <v>14</v>
      </c>
      <c r="AF16">
        <f t="shared" ca="1" si="3"/>
        <v>-0.67558982642491472</v>
      </c>
      <c r="AG16">
        <f t="shared" ca="1" si="3"/>
        <v>0.20500433842678972</v>
      </c>
      <c r="AH16">
        <f t="shared" ca="1" si="3"/>
        <v>0.75711741536082555</v>
      </c>
      <c r="AI16">
        <f ca="1">Calculations!$B$972 + Calculations!$B$982 * AF16</f>
        <v>-1.2086562599088467E-2</v>
      </c>
      <c r="AJ16">
        <f ca="1">Calculations!$C$972 + Calculations!$B$983 * AF16 + Calculations!$C$983 * AG16</f>
        <v>4.3617031379293934E-3</v>
      </c>
      <c r="AK16">
        <f ca="1">Calculations!$D$972 + Calculations!$B$984 * AF16 + Calculations!$C$984 * AG16 + Calculations!$D$984 * AH16</f>
        <v>2.3795961581406455E-2</v>
      </c>
      <c r="AL16">
        <f ca="1">Calculations!$B$988 * AI16 + Calculations!$B$989 * AJ16 + Calculations!$B$990 * AK16</f>
        <v>1.9678478024635817E-3</v>
      </c>
      <c r="AM16">
        <f t="shared" ca="1" si="8"/>
        <v>10463.377492425439</v>
      </c>
      <c r="AO16" s="3">
        <v>14</v>
      </c>
      <c r="AP16">
        <f t="shared" ca="1" si="4"/>
        <v>2.7906028503056808</v>
      </c>
      <c r="AQ16">
        <f t="shared" ca="1" si="4"/>
        <v>0.51966024166249269</v>
      </c>
      <c r="AR16">
        <f t="shared" ca="1" si="4"/>
        <v>0.23428036260779153</v>
      </c>
      <c r="AS16">
        <f ca="1">Calculations!$B$972 + Calculations!$B$982 * AP16</f>
        <v>5.5828808569468757E-2</v>
      </c>
      <c r="AT16">
        <f ca="1">Calculations!$C$972 + Calculations!$B$983 * AP16 + Calculations!$C$983 * AQ16</f>
        <v>9.0229514196200813E-3</v>
      </c>
      <c r="AU16">
        <f ca="1">Calculations!$D$972 + Calculations!$B$984 * AP16 + Calculations!$C$984 * AQ16 + Calculations!$D$984 * AR16</f>
        <v>6.5278376414290538E-3</v>
      </c>
      <c r="AV16">
        <f ca="1">Calculations!$B$988 * AS16 + Calculations!$B$989 * AT16 + Calculations!$B$990 * AU16</f>
        <v>3.1677345861087114E-2</v>
      </c>
      <c r="AW16">
        <f t="shared" ca="1" si="9"/>
        <v>9925.192033960775</v>
      </c>
    </row>
    <row r="21" spans="8:8" x14ac:dyDescent="0.35">
      <c r="H21" s="6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Calculations</vt:lpstr>
      <vt:lpstr>Simulaciones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CASTRO ROCHA, LUIS EDUARDO</cp:lastModifiedBy>
  <dcterms:created xsi:type="dcterms:W3CDTF">2025-09-23T02:34:40Z</dcterms:created>
  <dcterms:modified xsi:type="dcterms:W3CDTF">2025-09-23T03:28:33Z</dcterms:modified>
</cp:coreProperties>
</file>